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lasso/dataProjects/Milwaukee_Data/TID_Analysis /"/>
    </mc:Choice>
  </mc:AlternateContent>
  <xr:revisionPtr revIDLastSave="0" documentId="13_ncr:1_{78B6338C-7DE1-C544-812A-84360CA38A1E}" xr6:coauthVersionLast="47" xr6:coauthVersionMax="47" xr10:uidLastSave="{00000000-0000-0000-0000-000000000000}"/>
  <bookViews>
    <workbookView xWindow="0" yWindow="660" windowWidth="29400" windowHeight="17280" xr2:uid="{02643A31-632B-4E1B-ABD6-806A6DA2239F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E2" i="1"/>
  <c r="B3" i="1"/>
  <c r="E3" i="1"/>
  <c r="B4" i="1"/>
  <c r="E4" i="1"/>
  <c r="B5" i="1"/>
  <c r="E5" i="1"/>
  <c r="B6" i="1"/>
  <c r="E6" i="1"/>
  <c r="B7" i="1"/>
  <c r="E7" i="1"/>
  <c r="B8" i="1"/>
  <c r="E8" i="1"/>
  <c r="B9" i="1"/>
  <c r="E9" i="1"/>
  <c r="B10" i="1"/>
  <c r="E10" i="1"/>
  <c r="B11" i="1"/>
  <c r="E11" i="1"/>
  <c r="B12" i="1"/>
  <c r="E12" i="1"/>
  <c r="B13" i="1"/>
  <c r="E13" i="1"/>
  <c r="B14" i="1"/>
  <c r="E14" i="1"/>
  <c r="B15" i="1"/>
  <c r="E15" i="1"/>
  <c r="B16" i="1"/>
  <c r="E16" i="1"/>
  <c r="B17" i="1"/>
  <c r="E17" i="1"/>
  <c r="B18" i="1"/>
  <c r="E18" i="1"/>
  <c r="B19" i="1"/>
  <c r="E19" i="1"/>
  <c r="B20" i="1"/>
  <c r="E20" i="1"/>
  <c r="B21" i="1"/>
  <c r="E21" i="1"/>
  <c r="B22" i="1"/>
  <c r="E22" i="1"/>
  <c r="B23" i="1"/>
  <c r="E23" i="1"/>
  <c r="B24" i="1"/>
  <c r="E24" i="1"/>
  <c r="B25" i="1"/>
  <c r="E25" i="1"/>
  <c r="B26" i="1"/>
  <c r="E26" i="1"/>
  <c r="B27" i="1"/>
  <c r="E27" i="1"/>
  <c r="B28" i="1"/>
  <c r="E28" i="1"/>
  <c r="B29" i="1"/>
  <c r="E29" i="1"/>
  <c r="B30" i="1"/>
  <c r="E30" i="1"/>
  <c r="B31" i="1"/>
  <c r="E31" i="1"/>
  <c r="B32" i="1"/>
  <c r="E32" i="1"/>
  <c r="B33" i="1"/>
  <c r="E33" i="1"/>
  <c r="B34" i="1"/>
  <c r="E34" i="1"/>
  <c r="B35" i="1"/>
  <c r="E35" i="1"/>
  <c r="B36" i="1"/>
  <c r="E36" i="1"/>
  <c r="B37" i="1"/>
  <c r="E37" i="1"/>
  <c r="B38" i="1"/>
  <c r="E38" i="1"/>
  <c r="B39" i="1"/>
  <c r="E39" i="1"/>
  <c r="B40" i="1"/>
  <c r="E40" i="1"/>
  <c r="B41" i="1"/>
  <c r="E41" i="1"/>
  <c r="B42" i="1"/>
  <c r="E42" i="1"/>
  <c r="B43" i="1"/>
  <c r="E43" i="1"/>
  <c r="B44" i="1"/>
  <c r="E44" i="1"/>
  <c r="B45" i="1"/>
  <c r="E45" i="1"/>
  <c r="B46" i="1"/>
  <c r="E46" i="1"/>
  <c r="B47" i="1"/>
  <c r="E47" i="1"/>
  <c r="B48" i="1"/>
  <c r="E48" i="1"/>
  <c r="B49" i="1"/>
  <c r="E49" i="1"/>
  <c r="B50" i="1"/>
  <c r="E50" i="1"/>
  <c r="B51" i="1"/>
  <c r="E51" i="1"/>
  <c r="B52" i="1"/>
  <c r="E52" i="1"/>
  <c r="B53" i="1"/>
  <c r="E53" i="1"/>
  <c r="B54" i="1"/>
  <c r="E54" i="1"/>
  <c r="B55" i="1"/>
  <c r="E55" i="1"/>
  <c r="B56" i="1"/>
  <c r="E56" i="1"/>
  <c r="B57" i="1"/>
  <c r="E57" i="1"/>
  <c r="B58" i="1"/>
  <c r="E58" i="1"/>
  <c r="B59" i="1"/>
  <c r="E59" i="1"/>
  <c r="B60" i="1"/>
  <c r="E60" i="1"/>
  <c r="B61" i="1"/>
  <c r="E61" i="1"/>
  <c r="B62" i="1"/>
  <c r="E62" i="1"/>
  <c r="B63" i="1"/>
  <c r="E63" i="1"/>
  <c r="B64" i="1"/>
  <c r="E64" i="1"/>
  <c r="B65" i="1"/>
  <c r="E65" i="1"/>
  <c r="B66" i="1"/>
  <c r="E66" i="1"/>
  <c r="B67" i="1"/>
  <c r="E67" i="1"/>
  <c r="B68" i="1"/>
  <c r="E68" i="1"/>
  <c r="B69" i="1"/>
  <c r="E69" i="1"/>
  <c r="B70" i="1"/>
  <c r="E70" i="1"/>
  <c r="B71" i="1"/>
  <c r="E71" i="1"/>
  <c r="B72" i="1"/>
  <c r="E72" i="1"/>
  <c r="B73" i="1"/>
  <c r="E73" i="1"/>
  <c r="B74" i="1"/>
  <c r="E74" i="1"/>
  <c r="B75" i="1"/>
  <c r="E75" i="1"/>
  <c r="B76" i="1"/>
  <c r="E76" i="1"/>
  <c r="B77" i="1"/>
  <c r="E77" i="1"/>
  <c r="B78" i="1"/>
  <c r="E78" i="1"/>
  <c r="B79" i="1"/>
  <c r="E79" i="1"/>
  <c r="B80" i="1"/>
  <c r="E80" i="1"/>
  <c r="B81" i="1"/>
  <c r="E81" i="1"/>
  <c r="B82" i="1"/>
  <c r="E82" i="1"/>
  <c r="B83" i="1"/>
  <c r="E83" i="1"/>
  <c r="B84" i="1"/>
  <c r="E84" i="1"/>
  <c r="B85" i="1"/>
  <c r="E85" i="1"/>
  <c r="B86" i="1"/>
  <c r="E86" i="1"/>
  <c r="B87" i="1"/>
  <c r="E87" i="1"/>
  <c r="B88" i="1"/>
  <c r="E88" i="1"/>
  <c r="B89" i="1"/>
  <c r="E89" i="1"/>
  <c r="B90" i="1"/>
  <c r="E90" i="1"/>
  <c r="B91" i="1"/>
  <c r="E91" i="1"/>
  <c r="B92" i="1"/>
  <c r="E92" i="1"/>
  <c r="B93" i="1"/>
  <c r="E93" i="1"/>
  <c r="B94" i="1"/>
  <c r="E94" i="1"/>
  <c r="B95" i="1"/>
  <c r="E95" i="1"/>
  <c r="B96" i="1"/>
  <c r="E96" i="1"/>
  <c r="B97" i="1"/>
  <c r="E97" i="1"/>
  <c r="B98" i="1"/>
  <c r="E98" i="1"/>
  <c r="B99" i="1"/>
  <c r="E99" i="1"/>
  <c r="B100" i="1"/>
  <c r="E100" i="1"/>
  <c r="B101" i="1"/>
  <c r="E101" i="1"/>
  <c r="B102" i="1"/>
  <c r="E102" i="1"/>
  <c r="B103" i="1"/>
  <c r="E103" i="1"/>
  <c r="B104" i="1"/>
  <c r="E104" i="1"/>
  <c r="B105" i="1"/>
  <c r="E105" i="1"/>
  <c r="B106" i="1"/>
  <c r="E106" i="1"/>
  <c r="B107" i="1"/>
  <c r="E107" i="1"/>
  <c r="B108" i="1"/>
  <c r="E108" i="1"/>
  <c r="B109" i="1"/>
  <c r="E109" i="1"/>
  <c r="B110" i="1"/>
  <c r="E110" i="1"/>
  <c r="B111" i="1"/>
  <c r="E111" i="1"/>
  <c r="B112" i="1"/>
  <c r="E112" i="1"/>
  <c r="B113" i="1"/>
  <c r="E113" i="1"/>
  <c r="B114" i="1"/>
  <c r="E114" i="1"/>
  <c r="B115" i="1"/>
  <c r="E115" i="1"/>
  <c r="B116" i="1"/>
  <c r="E116" i="1"/>
  <c r="B117" i="1"/>
  <c r="E117" i="1"/>
  <c r="B118" i="1"/>
  <c r="E118" i="1"/>
  <c r="B119" i="1"/>
  <c r="E119" i="1"/>
  <c r="B120" i="1"/>
  <c r="E120" i="1"/>
  <c r="B121" i="1"/>
  <c r="E121" i="1"/>
  <c r="B122" i="1"/>
  <c r="E122" i="1"/>
  <c r="B123" i="1"/>
  <c r="E123" i="1"/>
  <c r="B124" i="1"/>
  <c r="E124" i="1"/>
  <c r="B125" i="1"/>
  <c r="E125" i="1"/>
  <c r="B126" i="1"/>
  <c r="E126" i="1"/>
  <c r="B127" i="1"/>
  <c r="E127" i="1"/>
  <c r="B128" i="1"/>
  <c r="E128" i="1"/>
  <c r="B129" i="1"/>
  <c r="E129" i="1"/>
  <c r="B130" i="1"/>
  <c r="E130" i="1"/>
  <c r="B131" i="1"/>
  <c r="E131" i="1"/>
  <c r="B132" i="1"/>
  <c r="E132" i="1"/>
  <c r="B133" i="1"/>
  <c r="E133" i="1"/>
  <c r="B134" i="1"/>
  <c r="E134" i="1"/>
  <c r="B135" i="1"/>
  <c r="E135" i="1"/>
  <c r="B136" i="1"/>
  <c r="E136" i="1"/>
  <c r="B137" i="1"/>
  <c r="E137" i="1"/>
  <c r="B138" i="1"/>
  <c r="E138" i="1"/>
  <c r="B139" i="1"/>
  <c r="E139" i="1"/>
  <c r="B140" i="1"/>
  <c r="E140" i="1"/>
  <c r="B141" i="1"/>
  <c r="E141" i="1"/>
  <c r="B142" i="1"/>
  <c r="E142" i="1"/>
  <c r="B143" i="1"/>
  <c r="E143" i="1"/>
  <c r="B144" i="1"/>
  <c r="E144" i="1"/>
  <c r="B145" i="1"/>
  <c r="E145" i="1"/>
  <c r="B146" i="1"/>
  <c r="E146" i="1"/>
  <c r="B147" i="1"/>
  <c r="E147" i="1"/>
  <c r="B148" i="1"/>
  <c r="E148" i="1"/>
  <c r="B149" i="1"/>
  <c r="E149" i="1"/>
  <c r="B150" i="1"/>
  <c r="E150" i="1"/>
  <c r="B151" i="1"/>
  <c r="E151" i="1"/>
  <c r="B152" i="1"/>
  <c r="E152" i="1"/>
  <c r="B153" i="1"/>
  <c r="E153" i="1"/>
  <c r="B154" i="1"/>
  <c r="E154" i="1"/>
  <c r="B155" i="1"/>
  <c r="E155" i="1"/>
  <c r="B156" i="1"/>
  <c r="E156" i="1"/>
  <c r="B157" i="1"/>
  <c r="E157" i="1"/>
  <c r="B158" i="1"/>
  <c r="E158" i="1"/>
  <c r="B159" i="1"/>
  <c r="E159" i="1"/>
  <c r="B160" i="1"/>
  <c r="E160" i="1"/>
  <c r="B161" i="1"/>
  <c r="E161" i="1"/>
  <c r="B162" i="1"/>
  <c r="E162" i="1"/>
  <c r="B163" i="1"/>
  <c r="E163" i="1"/>
  <c r="B164" i="1"/>
  <c r="E164" i="1"/>
  <c r="B165" i="1"/>
  <c r="E165" i="1"/>
  <c r="B166" i="1"/>
  <c r="E166" i="1"/>
  <c r="B167" i="1"/>
  <c r="E167" i="1"/>
  <c r="B168" i="1"/>
  <c r="E168" i="1"/>
  <c r="B169" i="1"/>
  <c r="E169" i="1"/>
  <c r="B170" i="1"/>
  <c r="E170" i="1"/>
  <c r="B171" i="1"/>
  <c r="E171" i="1"/>
  <c r="B172" i="1"/>
  <c r="E172" i="1"/>
  <c r="B173" i="1"/>
  <c r="E173" i="1"/>
  <c r="B174" i="1"/>
  <c r="E174" i="1"/>
  <c r="B175" i="1"/>
  <c r="E175" i="1"/>
  <c r="B176" i="1"/>
  <c r="E176" i="1"/>
  <c r="B177" i="1"/>
  <c r="E177" i="1"/>
  <c r="B178" i="1"/>
  <c r="E178" i="1"/>
  <c r="B179" i="1"/>
  <c r="E179" i="1"/>
  <c r="B180" i="1"/>
  <c r="E180" i="1"/>
  <c r="B181" i="1"/>
  <c r="E181" i="1"/>
  <c r="B182" i="1"/>
  <c r="E182" i="1"/>
  <c r="B183" i="1"/>
  <c r="E183" i="1"/>
  <c r="B184" i="1"/>
  <c r="E184" i="1"/>
  <c r="B185" i="1"/>
  <c r="E185" i="1"/>
  <c r="B186" i="1"/>
  <c r="E186" i="1"/>
  <c r="B187" i="1"/>
  <c r="E187" i="1"/>
  <c r="B188" i="1"/>
  <c r="E188" i="1"/>
  <c r="B189" i="1"/>
  <c r="E189" i="1"/>
  <c r="B190" i="1"/>
  <c r="E190" i="1"/>
  <c r="B191" i="1"/>
  <c r="E191" i="1"/>
  <c r="B192" i="1"/>
  <c r="E192" i="1"/>
  <c r="B193" i="1"/>
  <c r="E193" i="1"/>
  <c r="B194" i="1"/>
  <c r="E194" i="1"/>
  <c r="B195" i="1"/>
  <c r="E195" i="1"/>
  <c r="B196" i="1"/>
  <c r="E196" i="1"/>
  <c r="B197" i="1"/>
  <c r="E197" i="1"/>
  <c r="B198" i="1"/>
  <c r="E198" i="1"/>
  <c r="B199" i="1"/>
  <c r="E199" i="1"/>
  <c r="B200" i="1"/>
  <c r="E200" i="1"/>
  <c r="B201" i="1"/>
  <c r="E201" i="1"/>
  <c r="B202" i="1"/>
  <c r="E202" i="1"/>
  <c r="B203" i="1"/>
  <c r="E203" i="1"/>
  <c r="B204" i="1"/>
  <c r="E204" i="1"/>
  <c r="B205" i="1"/>
  <c r="E205" i="1"/>
  <c r="B206" i="1"/>
  <c r="E206" i="1"/>
  <c r="B207" i="1"/>
  <c r="E207" i="1"/>
  <c r="B208" i="1"/>
  <c r="E208" i="1"/>
  <c r="B209" i="1"/>
  <c r="E209" i="1"/>
  <c r="B210" i="1"/>
  <c r="E210" i="1"/>
  <c r="B211" i="1"/>
  <c r="E211" i="1"/>
  <c r="B212" i="1"/>
  <c r="E212" i="1"/>
  <c r="B213" i="1"/>
  <c r="E213" i="1"/>
  <c r="B214" i="1"/>
  <c r="E214" i="1"/>
  <c r="B215" i="1"/>
  <c r="E215" i="1"/>
  <c r="B216" i="1"/>
  <c r="E216" i="1"/>
  <c r="B217" i="1"/>
  <c r="E217" i="1"/>
  <c r="B218" i="1"/>
  <c r="E218" i="1"/>
  <c r="B219" i="1"/>
  <c r="E219" i="1"/>
  <c r="B220" i="1"/>
  <c r="E220" i="1"/>
  <c r="B221" i="1"/>
  <c r="E221" i="1"/>
  <c r="B222" i="1"/>
  <c r="E222" i="1"/>
  <c r="B223" i="1"/>
  <c r="E223" i="1"/>
  <c r="B224" i="1"/>
  <c r="E224" i="1"/>
  <c r="B225" i="1"/>
  <c r="E225" i="1"/>
  <c r="B226" i="1"/>
  <c r="E226" i="1"/>
  <c r="B227" i="1"/>
  <c r="E227" i="1"/>
  <c r="B228" i="1"/>
  <c r="E228" i="1"/>
  <c r="B229" i="1"/>
  <c r="E229" i="1"/>
  <c r="B230" i="1"/>
  <c r="E230" i="1"/>
  <c r="B231" i="1"/>
  <c r="E231" i="1"/>
  <c r="B232" i="1"/>
  <c r="E232" i="1"/>
  <c r="B233" i="1"/>
  <c r="E233" i="1"/>
  <c r="B234" i="1"/>
  <c r="E234" i="1"/>
  <c r="B235" i="1"/>
  <c r="E235" i="1"/>
  <c r="B236" i="1"/>
  <c r="E236" i="1"/>
  <c r="B237" i="1"/>
  <c r="E237" i="1"/>
  <c r="B238" i="1"/>
  <c r="E238" i="1"/>
  <c r="B239" i="1"/>
  <c r="E239" i="1"/>
  <c r="B240" i="1"/>
  <c r="E240" i="1"/>
  <c r="B241" i="1"/>
  <c r="E241" i="1"/>
  <c r="B242" i="1"/>
  <c r="E242" i="1"/>
  <c r="B243" i="1"/>
  <c r="E243" i="1"/>
  <c r="B244" i="1"/>
  <c r="E244" i="1"/>
  <c r="B245" i="1"/>
  <c r="E245" i="1"/>
  <c r="B246" i="1"/>
  <c r="E246" i="1"/>
  <c r="B247" i="1"/>
  <c r="E247" i="1"/>
  <c r="B248" i="1"/>
  <c r="E248" i="1"/>
  <c r="B249" i="1"/>
  <c r="E249" i="1"/>
  <c r="B250" i="1"/>
  <c r="E250" i="1"/>
  <c r="B251" i="1"/>
  <c r="E251" i="1"/>
  <c r="B252" i="1"/>
  <c r="E252" i="1"/>
  <c r="B253" i="1"/>
  <c r="E253" i="1"/>
  <c r="B254" i="1"/>
  <c r="E254" i="1"/>
  <c r="B255" i="1"/>
  <c r="E255" i="1"/>
  <c r="B256" i="1"/>
  <c r="E256" i="1"/>
  <c r="B257" i="1"/>
  <c r="E257" i="1"/>
  <c r="B258" i="1"/>
  <c r="E258" i="1"/>
  <c r="B259" i="1"/>
  <c r="E259" i="1"/>
  <c r="B260" i="1"/>
  <c r="E260" i="1"/>
  <c r="B261" i="1"/>
  <c r="E261" i="1"/>
  <c r="B262" i="1"/>
  <c r="E262" i="1"/>
  <c r="B263" i="1"/>
  <c r="E263" i="1"/>
  <c r="B264" i="1"/>
  <c r="E264" i="1"/>
  <c r="B265" i="1"/>
  <c r="E265" i="1"/>
  <c r="B266" i="1"/>
  <c r="E266" i="1"/>
  <c r="B267" i="1"/>
  <c r="E267" i="1"/>
  <c r="B268" i="1"/>
  <c r="E268" i="1"/>
  <c r="B269" i="1"/>
  <c r="E269" i="1"/>
  <c r="B270" i="1"/>
  <c r="E270" i="1"/>
  <c r="B271" i="1"/>
  <c r="E271" i="1"/>
  <c r="B272" i="1"/>
  <c r="E272" i="1"/>
  <c r="B273" i="1"/>
  <c r="E273" i="1"/>
  <c r="B274" i="1"/>
  <c r="E274" i="1"/>
  <c r="B275" i="1"/>
  <c r="E275" i="1"/>
  <c r="B276" i="1"/>
  <c r="E276" i="1"/>
  <c r="B277" i="1"/>
  <c r="E277" i="1"/>
  <c r="B278" i="1"/>
  <c r="E278" i="1"/>
  <c r="B279" i="1"/>
  <c r="E279" i="1"/>
  <c r="B280" i="1"/>
  <c r="E280" i="1"/>
  <c r="B281" i="1"/>
  <c r="E281" i="1"/>
  <c r="B282" i="1"/>
  <c r="E282" i="1"/>
  <c r="B283" i="1"/>
  <c r="E283" i="1"/>
  <c r="B284" i="1"/>
  <c r="E284" i="1"/>
  <c r="B285" i="1"/>
  <c r="E285" i="1"/>
  <c r="B286" i="1"/>
  <c r="E286" i="1"/>
  <c r="B287" i="1"/>
  <c r="E287" i="1"/>
  <c r="B288" i="1"/>
  <c r="E288" i="1"/>
  <c r="B289" i="1"/>
  <c r="E289" i="1"/>
  <c r="B290" i="1"/>
  <c r="E290" i="1"/>
  <c r="B291" i="1"/>
  <c r="E291" i="1"/>
  <c r="B292" i="1"/>
  <c r="E292" i="1"/>
  <c r="B293" i="1"/>
  <c r="E293" i="1"/>
  <c r="B294" i="1"/>
  <c r="E294" i="1"/>
  <c r="B295" i="1"/>
  <c r="E295" i="1"/>
  <c r="B296" i="1"/>
  <c r="E296" i="1"/>
  <c r="B297" i="1"/>
  <c r="E297" i="1"/>
  <c r="B298" i="1"/>
  <c r="E298" i="1"/>
  <c r="B299" i="1"/>
  <c r="E299" i="1"/>
  <c r="B300" i="1"/>
  <c r="E300" i="1"/>
  <c r="B301" i="1"/>
  <c r="E301" i="1"/>
  <c r="B302" i="1"/>
  <c r="E302" i="1"/>
  <c r="B303" i="1"/>
  <c r="E303" i="1"/>
  <c r="B304" i="1"/>
  <c r="E304" i="1"/>
  <c r="B305" i="1"/>
  <c r="E305" i="1"/>
  <c r="B306" i="1"/>
  <c r="E306" i="1"/>
  <c r="B307" i="1"/>
  <c r="E307" i="1"/>
  <c r="B308" i="1"/>
  <c r="E308" i="1"/>
  <c r="B309" i="1"/>
  <c r="E309" i="1"/>
  <c r="B310" i="1"/>
  <c r="E310" i="1"/>
  <c r="B311" i="1"/>
  <c r="E311" i="1"/>
  <c r="B312" i="1"/>
  <c r="E312" i="1"/>
  <c r="B313" i="1"/>
  <c r="E313" i="1"/>
  <c r="B314" i="1"/>
  <c r="E314" i="1"/>
  <c r="B315" i="1"/>
  <c r="E315" i="1"/>
  <c r="B316" i="1"/>
  <c r="E316" i="1"/>
  <c r="B317" i="1"/>
  <c r="E317" i="1"/>
  <c r="B318" i="1"/>
  <c r="E318" i="1"/>
  <c r="B319" i="1"/>
  <c r="E319" i="1"/>
  <c r="B320" i="1"/>
  <c r="E320" i="1"/>
  <c r="B321" i="1"/>
  <c r="E321" i="1"/>
  <c r="B322" i="1"/>
  <c r="E322" i="1"/>
  <c r="B323" i="1"/>
  <c r="E323" i="1"/>
  <c r="B324" i="1"/>
  <c r="E324" i="1"/>
  <c r="B325" i="1"/>
  <c r="E325" i="1"/>
  <c r="B326" i="1"/>
  <c r="E326" i="1"/>
  <c r="B327" i="1"/>
  <c r="E327" i="1"/>
  <c r="B328" i="1"/>
  <c r="E328" i="1"/>
  <c r="B329" i="1"/>
  <c r="E329" i="1"/>
  <c r="B330" i="1"/>
  <c r="E330" i="1"/>
  <c r="B331" i="1"/>
  <c r="E331" i="1"/>
  <c r="B332" i="1"/>
  <c r="E332" i="1"/>
  <c r="B333" i="1"/>
  <c r="E333" i="1"/>
  <c r="B334" i="1"/>
  <c r="E334" i="1"/>
  <c r="B335" i="1"/>
  <c r="E335" i="1"/>
  <c r="B336" i="1"/>
  <c r="E336" i="1"/>
  <c r="B337" i="1"/>
  <c r="E337" i="1"/>
  <c r="B338" i="1"/>
  <c r="E338" i="1"/>
  <c r="B339" i="1"/>
  <c r="E339" i="1"/>
  <c r="B340" i="1"/>
  <c r="E340" i="1"/>
  <c r="B341" i="1"/>
  <c r="E341" i="1"/>
  <c r="B342" i="1"/>
  <c r="E342" i="1"/>
  <c r="B343" i="1"/>
  <c r="E343" i="1"/>
  <c r="B344" i="1"/>
  <c r="E344" i="1"/>
  <c r="B345" i="1"/>
  <c r="E345" i="1"/>
  <c r="B346" i="1"/>
  <c r="E346" i="1"/>
  <c r="B347" i="1"/>
  <c r="E347" i="1"/>
  <c r="B348" i="1"/>
  <c r="E348" i="1"/>
  <c r="B349" i="1"/>
  <c r="E349" i="1"/>
  <c r="B350" i="1"/>
  <c r="E350" i="1"/>
  <c r="B351" i="1"/>
  <c r="E351" i="1"/>
  <c r="B352" i="1"/>
  <c r="E352" i="1"/>
  <c r="B353" i="1"/>
  <c r="E353" i="1"/>
  <c r="B354" i="1"/>
  <c r="E354" i="1"/>
  <c r="B355" i="1"/>
  <c r="E355" i="1"/>
  <c r="B356" i="1"/>
  <c r="E356" i="1"/>
  <c r="B357" i="1"/>
  <c r="E357" i="1"/>
  <c r="B358" i="1"/>
  <c r="E358" i="1"/>
  <c r="B359" i="1"/>
  <c r="E359" i="1"/>
  <c r="B360" i="1"/>
  <c r="E360" i="1"/>
  <c r="B361" i="1"/>
  <c r="E361" i="1"/>
  <c r="B362" i="1"/>
  <c r="E362" i="1"/>
  <c r="B363" i="1"/>
  <c r="E363" i="1"/>
  <c r="B364" i="1"/>
  <c r="E364" i="1"/>
  <c r="B365" i="1"/>
  <c r="E365" i="1"/>
  <c r="B366" i="1"/>
  <c r="E366" i="1"/>
  <c r="B367" i="1"/>
  <c r="E367" i="1"/>
  <c r="B368" i="1"/>
  <c r="E368" i="1"/>
  <c r="B369" i="1"/>
  <c r="E369" i="1"/>
  <c r="B370" i="1"/>
  <c r="E370" i="1"/>
  <c r="B371" i="1"/>
  <c r="E371" i="1"/>
  <c r="B372" i="1"/>
  <c r="E372" i="1"/>
  <c r="B373" i="1"/>
  <c r="E373" i="1"/>
  <c r="B374" i="1"/>
  <c r="E374" i="1"/>
  <c r="B375" i="1"/>
  <c r="E375" i="1"/>
  <c r="B376" i="1"/>
  <c r="E376" i="1"/>
  <c r="B377" i="1"/>
  <c r="E377" i="1"/>
  <c r="B378" i="1"/>
  <c r="E378" i="1"/>
  <c r="B379" i="1"/>
  <c r="E379" i="1"/>
  <c r="B380" i="1"/>
  <c r="E380" i="1"/>
  <c r="B381" i="1"/>
  <c r="E381" i="1"/>
  <c r="B382" i="1"/>
  <c r="E382" i="1"/>
  <c r="B383" i="1"/>
  <c r="E383" i="1"/>
  <c r="B384" i="1"/>
  <c r="E384" i="1"/>
  <c r="B385" i="1"/>
  <c r="E385" i="1"/>
  <c r="B386" i="1"/>
  <c r="E386" i="1"/>
  <c r="B387" i="1"/>
  <c r="E387" i="1"/>
  <c r="B388" i="1"/>
  <c r="E388" i="1"/>
  <c r="B389" i="1"/>
  <c r="E389" i="1"/>
  <c r="B390" i="1"/>
  <c r="E390" i="1"/>
  <c r="B391" i="1"/>
  <c r="E391" i="1"/>
  <c r="B392" i="1"/>
  <c r="E392" i="1"/>
  <c r="B393" i="1"/>
  <c r="E393" i="1"/>
  <c r="B394" i="1"/>
  <c r="E394" i="1"/>
  <c r="B395" i="1"/>
  <c r="E395" i="1"/>
  <c r="B396" i="1"/>
  <c r="E396" i="1"/>
  <c r="B397" i="1"/>
  <c r="E397" i="1"/>
  <c r="B398" i="1"/>
  <c r="E398" i="1"/>
  <c r="B399" i="1"/>
  <c r="E399" i="1"/>
  <c r="B400" i="1"/>
  <c r="E400" i="1"/>
  <c r="B401" i="1"/>
  <c r="E401" i="1"/>
  <c r="B402" i="1"/>
  <c r="E402" i="1"/>
  <c r="B403" i="1"/>
  <c r="E403" i="1"/>
  <c r="B404" i="1"/>
  <c r="E404" i="1"/>
  <c r="B405" i="1"/>
  <c r="E405" i="1"/>
  <c r="B406" i="1"/>
  <c r="E406" i="1"/>
  <c r="B407" i="1"/>
  <c r="E407" i="1"/>
  <c r="B408" i="1"/>
  <c r="E408" i="1"/>
  <c r="B409" i="1"/>
  <c r="E409" i="1"/>
  <c r="B410" i="1"/>
  <c r="E410" i="1"/>
  <c r="B411" i="1"/>
  <c r="E411" i="1"/>
  <c r="B412" i="1"/>
  <c r="E412" i="1"/>
  <c r="B413" i="1"/>
  <c r="E413" i="1"/>
  <c r="B414" i="1"/>
  <c r="E414" i="1"/>
  <c r="B415" i="1"/>
  <c r="E415" i="1"/>
  <c r="B416" i="1"/>
  <c r="E416" i="1"/>
  <c r="B417" i="1"/>
  <c r="E417" i="1"/>
  <c r="B418" i="1"/>
  <c r="E418" i="1"/>
  <c r="B419" i="1"/>
  <c r="E419" i="1"/>
  <c r="B420" i="1"/>
  <c r="E420" i="1"/>
  <c r="B421" i="1"/>
  <c r="E421" i="1"/>
  <c r="B422" i="1"/>
  <c r="E422" i="1"/>
  <c r="B423" i="1"/>
  <c r="E423" i="1"/>
  <c r="B424" i="1"/>
  <c r="E424" i="1"/>
  <c r="B425" i="1"/>
  <c r="E425" i="1"/>
  <c r="B426" i="1"/>
  <c r="E426" i="1"/>
  <c r="B427" i="1"/>
  <c r="E427" i="1"/>
  <c r="B428" i="1"/>
  <c r="E428" i="1"/>
  <c r="B429" i="1"/>
  <c r="E429" i="1"/>
  <c r="B430" i="1"/>
  <c r="E430" i="1"/>
  <c r="B431" i="1"/>
  <c r="E431" i="1"/>
  <c r="B432" i="1"/>
  <c r="E432" i="1"/>
  <c r="B433" i="1"/>
  <c r="E433" i="1"/>
  <c r="B434" i="1"/>
  <c r="E434" i="1"/>
  <c r="B435" i="1"/>
  <c r="E435" i="1"/>
  <c r="B436" i="1"/>
  <c r="E436" i="1"/>
  <c r="B437" i="1"/>
  <c r="E437" i="1"/>
  <c r="B438" i="1"/>
  <c r="E438" i="1"/>
  <c r="B439" i="1"/>
  <c r="E439" i="1"/>
  <c r="B440" i="1"/>
  <c r="E440" i="1"/>
  <c r="B441" i="1"/>
  <c r="E441" i="1"/>
  <c r="B442" i="1"/>
  <c r="E442" i="1"/>
  <c r="B443" i="1"/>
  <c r="E443" i="1"/>
  <c r="B444" i="1"/>
  <c r="E444" i="1"/>
  <c r="B445" i="1"/>
  <c r="E445" i="1"/>
  <c r="B446" i="1"/>
  <c r="E446" i="1"/>
  <c r="B447" i="1"/>
  <c r="E447" i="1"/>
  <c r="B448" i="1"/>
  <c r="E448" i="1"/>
  <c r="B449" i="1"/>
  <c r="E449" i="1"/>
  <c r="B450" i="1"/>
  <c r="E450" i="1"/>
  <c r="B451" i="1"/>
  <c r="E451" i="1"/>
  <c r="B452" i="1"/>
  <c r="E452" i="1"/>
  <c r="B453" i="1"/>
  <c r="E453" i="1"/>
  <c r="B454" i="1"/>
  <c r="E454" i="1"/>
  <c r="B455" i="1"/>
  <c r="E455" i="1"/>
  <c r="B456" i="1"/>
  <c r="E456" i="1"/>
  <c r="B457" i="1"/>
  <c r="E457" i="1"/>
  <c r="B458" i="1"/>
  <c r="E458" i="1"/>
  <c r="B459" i="1"/>
  <c r="E459" i="1"/>
  <c r="B460" i="1"/>
  <c r="E460" i="1"/>
  <c r="B461" i="1"/>
  <c r="E461" i="1"/>
  <c r="B462" i="1"/>
  <c r="E462" i="1"/>
  <c r="B463" i="1"/>
  <c r="E463" i="1"/>
  <c r="B464" i="1"/>
  <c r="E464" i="1"/>
  <c r="B465" i="1"/>
  <c r="E465" i="1"/>
  <c r="B466" i="1"/>
  <c r="E466" i="1"/>
  <c r="B467" i="1"/>
  <c r="E467" i="1"/>
  <c r="B468" i="1"/>
  <c r="E468" i="1"/>
  <c r="B469" i="1"/>
  <c r="E469" i="1"/>
  <c r="B470" i="1"/>
  <c r="E470" i="1"/>
  <c r="B471" i="1"/>
  <c r="E471" i="1"/>
  <c r="B472" i="1"/>
  <c r="E472" i="1"/>
  <c r="B473" i="1"/>
  <c r="E473" i="1"/>
  <c r="B474" i="1"/>
  <c r="E474" i="1"/>
  <c r="B475" i="1"/>
  <c r="E475" i="1"/>
  <c r="B476" i="1"/>
  <c r="E476" i="1"/>
  <c r="B477" i="1"/>
  <c r="E477" i="1"/>
  <c r="B478" i="1"/>
  <c r="E478" i="1"/>
  <c r="B479" i="1"/>
  <c r="E479" i="1"/>
  <c r="B480" i="1"/>
  <c r="E480" i="1"/>
  <c r="B481" i="1"/>
  <c r="E481" i="1"/>
  <c r="B482" i="1"/>
  <c r="E482" i="1"/>
  <c r="B483" i="1"/>
  <c r="E483" i="1"/>
  <c r="B484" i="1"/>
  <c r="E484" i="1"/>
  <c r="B485" i="1"/>
  <c r="E485" i="1"/>
  <c r="B486" i="1"/>
  <c r="E486" i="1"/>
  <c r="B487" i="1"/>
  <c r="E487" i="1"/>
  <c r="B488" i="1"/>
  <c r="E488" i="1"/>
  <c r="B489" i="1"/>
  <c r="E489" i="1"/>
  <c r="B490" i="1"/>
  <c r="E490" i="1"/>
  <c r="B491" i="1"/>
  <c r="E491" i="1"/>
  <c r="B492" i="1"/>
  <c r="E492" i="1"/>
  <c r="B493" i="1"/>
  <c r="E493" i="1"/>
  <c r="B494" i="1"/>
  <c r="E494" i="1"/>
  <c r="B495" i="1"/>
  <c r="E495" i="1"/>
  <c r="B496" i="1"/>
  <c r="E496" i="1"/>
  <c r="B497" i="1"/>
  <c r="E497" i="1"/>
  <c r="B498" i="1"/>
  <c r="E498" i="1"/>
  <c r="B499" i="1"/>
  <c r="E499" i="1"/>
  <c r="B500" i="1"/>
  <c r="E500" i="1"/>
  <c r="B501" i="1"/>
  <c r="E501" i="1"/>
  <c r="B502" i="1"/>
  <c r="E502" i="1"/>
  <c r="B503" i="1"/>
  <c r="E503" i="1"/>
  <c r="B504" i="1"/>
  <c r="E504" i="1"/>
  <c r="B505" i="1"/>
  <c r="E505" i="1"/>
  <c r="B506" i="1"/>
  <c r="E506" i="1"/>
  <c r="B507" i="1"/>
  <c r="E507" i="1"/>
  <c r="B508" i="1"/>
  <c r="E508" i="1"/>
  <c r="B509" i="1"/>
  <c r="E509" i="1"/>
  <c r="B510" i="1"/>
  <c r="E510" i="1"/>
  <c r="B511" i="1"/>
  <c r="E511" i="1"/>
  <c r="B512" i="1"/>
  <c r="E512" i="1"/>
  <c r="B513" i="1"/>
  <c r="E513" i="1"/>
  <c r="B514" i="1"/>
  <c r="E514" i="1"/>
  <c r="B515" i="1"/>
  <c r="E515" i="1"/>
  <c r="B516" i="1"/>
  <c r="E516" i="1"/>
  <c r="B517" i="1"/>
  <c r="E517" i="1"/>
  <c r="B518" i="1"/>
  <c r="E518" i="1"/>
  <c r="B519" i="1"/>
  <c r="E519" i="1"/>
  <c r="B520" i="1"/>
  <c r="E520" i="1"/>
  <c r="B521" i="1"/>
  <c r="E521" i="1"/>
  <c r="B522" i="1"/>
  <c r="E522" i="1"/>
  <c r="B523" i="1"/>
  <c r="E523" i="1"/>
  <c r="B524" i="1"/>
  <c r="E524" i="1"/>
  <c r="B525" i="1"/>
  <c r="E525" i="1"/>
  <c r="B526" i="1"/>
  <c r="E526" i="1"/>
  <c r="B527" i="1"/>
  <c r="E527" i="1"/>
  <c r="B528" i="1"/>
  <c r="E528" i="1"/>
  <c r="B529" i="1"/>
  <c r="E529" i="1"/>
  <c r="B530" i="1"/>
  <c r="E530" i="1"/>
  <c r="B531" i="1"/>
  <c r="E531" i="1"/>
  <c r="B532" i="1"/>
  <c r="E532" i="1"/>
  <c r="B533" i="1"/>
  <c r="E533" i="1"/>
  <c r="B534" i="1"/>
  <c r="E534" i="1"/>
  <c r="B535" i="1"/>
  <c r="E535" i="1"/>
  <c r="B536" i="1"/>
  <c r="E536" i="1"/>
  <c r="B537" i="1"/>
  <c r="E537" i="1"/>
  <c r="B538" i="1"/>
  <c r="E538" i="1"/>
  <c r="B539" i="1"/>
  <c r="E539" i="1"/>
  <c r="B540" i="1"/>
  <c r="E540" i="1"/>
  <c r="B541" i="1"/>
  <c r="E541" i="1"/>
  <c r="B542" i="1"/>
  <c r="E542" i="1"/>
  <c r="B543" i="1"/>
  <c r="E543" i="1"/>
  <c r="B544" i="1"/>
  <c r="E544" i="1"/>
  <c r="B545" i="1"/>
  <c r="E545" i="1"/>
  <c r="B546" i="1"/>
  <c r="E546" i="1"/>
  <c r="B547" i="1"/>
  <c r="E547" i="1"/>
  <c r="B548" i="1"/>
  <c r="E548" i="1"/>
  <c r="B549" i="1"/>
  <c r="E549" i="1"/>
  <c r="B550" i="1"/>
  <c r="E550" i="1"/>
  <c r="B551" i="1"/>
  <c r="E551" i="1"/>
  <c r="B552" i="1"/>
  <c r="E552" i="1"/>
  <c r="B553" i="1"/>
  <c r="E553" i="1"/>
  <c r="B554" i="1"/>
  <c r="E554" i="1"/>
  <c r="B555" i="1"/>
  <c r="E555" i="1"/>
  <c r="B556" i="1"/>
  <c r="E556" i="1"/>
  <c r="B557" i="1"/>
  <c r="E557" i="1"/>
  <c r="B558" i="1"/>
  <c r="E558" i="1"/>
  <c r="B559" i="1"/>
  <c r="E559" i="1"/>
  <c r="B560" i="1"/>
  <c r="E560" i="1"/>
  <c r="B561" i="1"/>
  <c r="E561" i="1"/>
  <c r="B562" i="1"/>
  <c r="E562" i="1"/>
  <c r="B563" i="1"/>
  <c r="E563" i="1"/>
  <c r="B564" i="1"/>
  <c r="E564" i="1"/>
  <c r="B565" i="1"/>
  <c r="E565" i="1"/>
  <c r="B566" i="1"/>
  <c r="E566" i="1"/>
  <c r="B567" i="1"/>
  <c r="E567" i="1"/>
  <c r="B568" i="1"/>
  <c r="E568" i="1"/>
  <c r="B569" i="1"/>
  <c r="E569" i="1"/>
  <c r="B570" i="1"/>
  <c r="E570" i="1"/>
  <c r="B571" i="1"/>
  <c r="E571" i="1"/>
  <c r="B572" i="1"/>
  <c r="E572" i="1"/>
  <c r="B573" i="1"/>
  <c r="E573" i="1"/>
  <c r="B574" i="1"/>
  <c r="E574" i="1"/>
  <c r="B575" i="1"/>
  <c r="E575" i="1"/>
  <c r="B576" i="1"/>
  <c r="E576" i="1"/>
  <c r="B577" i="1"/>
  <c r="E577" i="1"/>
  <c r="B578" i="1"/>
  <c r="E578" i="1"/>
  <c r="B579" i="1"/>
  <c r="E579" i="1"/>
  <c r="B580" i="1"/>
  <c r="E580" i="1"/>
  <c r="B581" i="1"/>
  <c r="E581" i="1"/>
  <c r="B582" i="1"/>
  <c r="E582" i="1"/>
  <c r="B583" i="1"/>
  <c r="E583" i="1"/>
  <c r="B584" i="1"/>
  <c r="E584" i="1"/>
  <c r="B585" i="1"/>
  <c r="E585" i="1"/>
  <c r="B586" i="1"/>
  <c r="E586" i="1"/>
  <c r="B587" i="1"/>
  <c r="E587" i="1"/>
  <c r="B588" i="1"/>
  <c r="E588" i="1"/>
  <c r="B589" i="1"/>
  <c r="E589" i="1"/>
  <c r="B590" i="1"/>
  <c r="E590" i="1"/>
  <c r="B591" i="1"/>
  <c r="E591" i="1"/>
  <c r="B592" i="1"/>
  <c r="E592" i="1"/>
  <c r="B593" i="1"/>
  <c r="E593" i="1"/>
  <c r="B594" i="1"/>
  <c r="E594" i="1"/>
  <c r="B595" i="1"/>
  <c r="E595" i="1"/>
  <c r="B596" i="1"/>
  <c r="E596" i="1"/>
  <c r="B597" i="1"/>
  <c r="E597" i="1"/>
  <c r="B598" i="1"/>
  <c r="E598" i="1"/>
  <c r="B599" i="1"/>
  <c r="E599" i="1"/>
  <c r="B600" i="1"/>
  <c r="E600" i="1"/>
  <c r="B601" i="1"/>
  <c r="E601" i="1"/>
  <c r="B602" i="1"/>
  <c r="E602" i="1"/>
  <c r="B603" i="1"/>
  <c r="E603" i="1"/>
  <c r="B604" i="1"/>
  <c r="E604" i="1"/>
  <c r="B605" i="1"/>
  <c r="E605" i="1"/>
  <c r="B606" i="1"/>
  <c r="E606" i="1"/>
  <c r="B607" i="1"/>
  <c r="E607" i="1"/>
  <c r="B608" i="1"/>
  <c r="E608" i="1"/>
  <c r="B609" i="1"/>
  <c r="E609" i="1"/>
  <c r="B610" i="1"/>
  <c r="E610" i="1"/>
  <c r="B611" i="1"/>
  <c r="E611" i="1"/>
  <c r="B612" i="1"/>
  <c r="E612" i="1"/>
  <c r="B613" i="1"/>
  <c r="E613" i="1"/>
  <c r="B614" i="1"/>
  <c r="E614" i="1"/>
  <c r="B615" i="1"/>
  <c r="E615" i="1"/>
  <c r="B616" i="1"/>
  <c r="E616" i="1"/>
  <c r="B617" i="1"/>
  <c r="E617" i="1"/>
  <c r="B618" i="1"/>
  <c r="E618" i="1"/>
  <c r="B619" i="1"/>
  <c r="E619" i="1"/>
  <c r="B620" i="1"/>
  <c r="E620" i="1"/>
  <c r="B621" i="1"/>
  <c r="E621" i="1"/>
  <c r="B622" i="1"/>
  <c r="E622" i="1"/>
  <c r="B623" i="1"/>
  <c r="E623" i="1"/>
  <c r="B624" i="1"/>
  <c r="E624" i="1"/>
  <c r="B625" i="1"/>
  <c r="E625" i="1"/>
  <c r="B626" i="1"/>
  <c r="E626" i="1"/>
  <c r="B627" i="1"/>
  <c r="E627" i="1"/>
  <c r="B628" i="1"/>
  <c r="E628" i="1"/>
  <c r="B629" i="1"/>
  <c r="E629" i="1"/>
  <c r="B630" i="1"/>
  <c r="E630" i="1"/>
  <c r="B631" i="1"/>
  <c r="E631" i="1"/>
  <c r="B632" i="1"/>
  <c r="E632" i="1"/>
  <c r="B633" i="1"/>
  <c r="E633" i="1"/>
  <c r="B634" i="1"/>
  <c r="E634" i="1"/>
  <c r="B635" i="1"/>
  <c r="E635" i="1"/>
  <c r="B636" i="1"/>
  <c r="E636" i="1"/>
  <c r="B637" i="1"/>
  <c r="E637" i="1"/>
  <c r="B638" i="1"/>
  <c r="E638" i="1"/>
  <c r="B639" i="1"/>
  <c r="E639" i="1"/>
  <c r="B640" i="1"/>
  <c r="E640" i="1"/>
  <c r="B641" i="1"/>
  <c r="E641" i="1"/>
  <c r="B642" i="1"/>
  <c r="E642" i="1"/>
  <c r="B643" i="1"/>
  <c r="E643" i="1"/>
  <c r="B644" i="1"/>
  <c r="E644" i="1"/>
  <c r="B645" i="1"/>
  <c r="E645" i="1"/>
  <c r="B646" i="1"/>
  <c r="E646" i="1"/>
  <c r="B647" i="1"/>
  <c r="E647" i="1"/>
  <c r="B648" i="1"/>
  <c r="E648" i="1"/>
  <c r="B649" i="1"/>
  <c r="E649" i="1"/>
  <c r="B650" i="1"/>
  <c r="E650" i="1"/>
  <c r="B651" i="1"/>
  <c r="E651" i="1"/>
  <c r="B652" i="1"/>
  <c r="E652" i="1"/>
  <c r="B653" i="1"/>
  <c r="E653" i="1"/>
  <c r="B654" i="1"/>
  <c r="E654" i="1"/>
  <c r="B655" i="1"/>
  <c r="E655" i="1"/>
  <c r="B656" i="1"/>
  <c r="E656" i="1"/>
  <c r="B657" i="1"/>
  <c r="E657" i="1"/>
  <c r="B658" i="1"/>
  <c r="E658" i="1"/>
  <c r="B659" i="1"/>
  <c r="E659" i="1"/>
  <c r="B660" i="1"/>
  <c r="E660" i="1"/>
  <c r="B661" i="1"/>
  <c r="E661" i="1"/>
  <c r="B662" i="1"/>
  <c r="E662" i="1"/>
  <c r="B663" i="1"/>
  <c r="E663" i="1"/>
  <c r="B664" i="1"/>
  <c r="E664" i="1"/>
  <c r="B665" i="1"/>
  <c r="E665" i="1"/>
  <c r="B666" i="1"/>
  <c r="E666" i="1"/>
  <c r="B667" i="1"/>
  <c r="E667" i="1"/>
  <c r="B668" i="1"/>
  <c r="E668" i="1"/>
  <c r="B669" i="1"/>
  <c r="E669" i="1"/>
  <c r="B670" i="1"/>
  <c r="E670" i="1"/>
  <c r="B671" i="1"/>
  <c r="E671" i="1"/>
  <c r="B672" i="1"/>
  <c r="E672" i="1"/>
  <c r="B673" i="1"/>
  <c r="E673" i="1"/>
  <c r="B674" i="1"/>
  <c r="E674" i="1"/>
  <c r="B675" i="1"/>
  <c r="E675" i="1"/>
  <c r="B676" i="1"/>
  <c r="E676" i="1"/>
  <c r="B677" i="1"/>
  <c r="E677" i="1"/>
  <c r="B678" i="1"/>
  <c r="E678" i="1"/>
  <c r="B679" i="1"/>
  <c r="E679" i="1"/>
  <c r="B680" i="1"/>
  <c r="E680" i="1"/>
  <c r="B681" i="1"/>
  <c r="E681" i="1"/>
  <c r="B682" i="1"/>
  <c r="E682" i="1"/>
  <c r="B683" i="1"/>
  <c r="E683" i="1"/>
  <c r="B684" i="1"/>
  <c r="E684" i="1"/>
  <c r="B685" i="1"/>
  <c r="E685" i="1"/>
  <c r="B686" i="1"/>
  <c r="E686" i="1"/>
  <c r="B687" i="1"/>
  <c r="E687" i="1"/>
  <c r="B688" i="1"/>
  <c r="E688" i="1"/>
  <c r="B689" i="1"/>
  <c r="E689" i="1"/>
  <c r="B690" i="1"/>
  <c r="E690" i="1"/>
  <c r="B691" i="1"/>
  <c r="E691" i="1"/>
  <c r="B692" i="1"/>
  <c r="E692" i="1"/>
  <c r="B693" i="1"/>
  <c r="E693" i="1"/>
  <c r="B694" i="1"/>
  <c r="E694" i="1"/>
  <c r="B695" i="1"/>
  <c r="E695" i="1"/>
  <c r="B696" i="1"/>
  <c r="E696" i="1"/>
  <c r="B697" i="1"/>
  <c r="E697" i="1"/>
  <c r="B698" i="1"/>
  <c r="E698" i="1"/>
  <c r="B699" i="1"/>
  <c r="E699" i="1"/>
  <c r="B700" i="1"/>
  <c r="E700" i="1"/>
  <c r="B701" i="1"/>
  <c r="E701" i="1"/>
  <c r="B702" i="1"/>
  <c r="E702" i="1"/>
  <c r="B703" i="1"/>
  <c r="E703" i="1"/>
  <c r="B704" i="1"/>
  <c r="E704" i="1"/>
  <c r="B705" i="1"/>
  <c r="E705" i="1"/>
  <c r="B706" i="1"/>
  <c r="E706" i="1"/>
  <c r="B707" i="1"/>
  <c r="E707" i="1"/>
  <c r="B708" i="1"/>
  <c r="E708" i="1"/>
  <c r="B709" i="1"/>
  <c r="E709" i="1"/>
  <c r="B710" i="1"/>
  <c r="E710" i="1"/>
  <c r="B711" i="1"/>
  <c r="E711" i="1"/>
  <c r="B712" i="1"/>
  <c r="E712" i="1"/>
  <c r="B713" i="1"/>
  <c r="E713" i="1"/>
  <c r="B714" i="1"/>
  <c r="E714" i="1"/>
  <c r="B715" i="1"/>
  <c r="E715" i="1"/>
  <c r="B716" i="1"/>
  <c r="E716" i="1"/>
  <c r="B717" i="1"/>
  <c r="E717" i="1"/>
  <c r="B718" i="1"/>
  <c r="E718" i="1"/>
  <c r="B719" i="1"/>
  <c r="E719" i="1"/>
  <c r="B720" i="1"/>
  <c r="E720" i="1"/>
  <c r="B721" i="1"/>
  <c r="E721" i="1"/>
  <c r="B722" i="1"/>
  <c r="E722" i="1"/>
  <c r="B723" i="1"/>
  <c r="E723" i="1"/>
  <c r="B724" i="1"/>
  <c r="E724" i="1"/>
  <c r="B725" i="1"/>
  <c r="E725" i="1"/>
  <c r="B726" i="1"/>
  <c r="E726" i="1"/>
  <c r="B727" i="1"/>
  <c r="E727" i="1"/>
  <c r="B728" i="1"/>
  <c r="E728" i="1"/>
  <c r="B729" i="1"/>
  <c r="E729" i="1"/>
  <c r="B730" i="1"/>
  <c r="E730" i="1"/>
  <c r="B731" i="1"/>
  <c r="E731" i="1"/>
  <c r="B732" i="1"/>
  <c r="E732" i="1"/>
  <c r="B733" i="1"/>
  <c r="E733" i="1"/>
  <c r="B734" i="1"/>
  <c r="E734" i="1"/>
  <c r="B735" i="1"/>
  <c r="E735" i="1"/>
  <c r="B736" i="1"/>
  <c r="E736" i="1"/>
  <c r="B737" i="1"/>
  <c r="E737" i="1"/>
  <c r="B738" i="1"/>
  <c r="E738" i="1"/>
  <c r="B739" i="1"/>
  <c r="E739" i="1"/>
  <c r="B740" i="1"/>
  <c r="E740" i="1"/>
  <c r="B741" i="1"/>
  <c r="E741" i="1"/>
  <c r="B742" i="1"/>
  <c r="E742" i="1"/>
  <c r="B743" i="1"/>
  <c r="E743" i="1"/>
  <c r="B744" i="1"/>
  <c r="E744" i="1"/>
  <c r="B745" i="1"/>
  <c r="E745" i="1"/>
  <c r="B746" i="1"/>
  <c r="E746" i="1"/>
  <c r="B747" i="1"/>
  <c r="E747" i="1"/>
  <c r="B748" i="1"/>
  <c r="E748" i="1"/>
  <c r="B749" i="1"/>
  <c r="E749" i="1"/>
  <c r="B750" i="1"/>
  <c r="E750" i="1"/>
  <c r="B751" i="1"/>
  <c r="E751" i="1"/>
  <c r="B752" i="1"/>
  <c r="E752" i="1"/>
  <c r="B753" i="1"/>
  <c r="E753" i="1"/>
  <c r="B754" i="1"/>
  <c r="E754" i="1"/>
  <c r="B755" i="1"/>
  <c r="E755" i="1"/>
  <c r="B756" i="1"/>
  <c r="E756" i="1"/>
  <c r="B757" i="1"/>
  <c r="E757" i="1"/>
  <c r="B758" i="1"/>
  <c r="E758" i="1"/>
  <c r="B759" i="1"/>
  <c r="E759" i="1"/>
  <c r="B760" i="1"/>
  <c r="E760" i="1"/>
  <c r="B761" i="1"/>
  <c r="E761" i="1"/>
  <c r="B762" i="1"/>
  <c r="E762" i="1"/>
  <c r="B763" i="1"/>
  <c r="E763" i="1"/>
  <c r="B764" i="1"/>
  <c r="E764" i="1"/>
  <c r="B765" i="1"/>
  <c r="E765" i="1"/>
  <c r="B766" i="1"/>
  <c r="E766" i="1"/>
  <c r="B767" i="1"/>
  <c r="E767" i="1"/>
  <c r="B768" i="1"/>
  <c r="E768" i="1"/>
  <c r="B769" i="1"/>
  <c r="E769" i="1"/>
  <c r="B770" i="1"/>
  <c r="E770" i="1"/>
  <c r="B771" i="1"/>
  <c r="E771" i="1"/>
  <c r="B772" i="1"/>
  <c r="E772" i="1"/>
  <c r="B773" i="1"/>
  <c r="E773" i="1"/>
  <c r="B774" i="1"/>
  <c r="E774" i="1"/>
  <c r="B775" i="1"/>
  <c r="E775" i="1"/>
  <c r="B776" i="1"/>
  <c r="E776" i="1"/>
  <c r="B777" i="1"/>
  <c r="E777" i="1"/>
  <c r="B778" i="1"/>
  <c r="E778" i="1"/>
  <c r="B779" i="1"/>
  <c r="E779" i="1"/>
  <c r="B780" i="1"/>
  <c r="E780" i="1"/>
  <c r="B781" i="1"/>
  <c r="E781" i="1"/>
  <c r="B782" i="1"/>
  <c r="E782" i="1"/>
  <c r="B783" i="1"/>
  <c r="E783" i="1"/>
  <c r="B784" i="1"/>
  <c r="E784" i="1"/>
  <c r="B785" i="1"/>
  <c r="E785" i="1"/>
  <c r="B786" i="1"/>
  <c r="E786" i="1"/>
  <c r="B787" i="1"/>
  <c r="E787" i="1"/>
  <c r="B788" i="1"/>
  <c r="E788" i="1"/>
  <c r="B789" i="1"/>
  <c r="E789" i="1"/>
  <c r="B790" i="1"/>
  <c r="E790" i="1"/>
  <c r="B791" i="1"/>
  <c r="E791" i="1"/>
  <c r="B792" i="1"/>
  <c r="E792" i="1"/>
  <c r="B793" i="1"/>
  <c r="E793" i="1"/>
  <c r="B794" i="1"/>
  <c r="E794" i="1"/>
  <c r="B795" i="1"/>
  <c r="E795" i="1"/>
  <c r="B796" i="1"/>
  <c r="E796" i="1"/>
  <c r="B797" i="1"/>
  <c r="E797" i="1"/>
  <c r="B798" i="1"/>
  <c r="E798" i="1"/>
  <c r="B799" i="1"/>
  <c r="E799" i="1"/>
  <c r="B800" i="1"/>
  <c r="E800" i="1"/>
  <c r="B801" i="1"/>
  <c r="E801" i="1"/>
  <c r="B802" i="1"/>
  <c r="E802" i="1"/>
  <c r="B803" i="1"/>
  <c r="E803" i="1"/>
  <c r="B804" i="1"/>
  <c r="E804" i="1"/>
  <c r="B805" i="1"/>
  <c r="E805" i="1"/>
  <c r="B806" i="1"/>
  <c r="E806" i="1"/>
  <c r="B807" i="1"/>
  <c r="E807" i="1"/>
  <c r="B808" i="1"/>
  <c r="E808" i="1"/>
  <c r="B809" i="1"/>
  <c r="E809" i="1"/>
  <c r="B810" i="1"/>
  <c r="E810" i="1"/>
  <c r="B811" i="1"/>
  <c r="E811" i="1"/>
  <c r="B812" i="1"/>
  <c r="E812" i="1"/>
  <c r="B813" i="1"/>
  <c r="E813" i="1"/>
  <c r="B814" i="1"/>
  <c r="E814" i="1"/>
  <c r="B815" i="1"/>
  <c r="E815" i="1"/>
  <c r="B816" i="1"/>
  <c r="E816" i="1"/>
  <c r="B817" i="1"/>
  <c r="E817" i="1"/>
  <c r="B818" i="1"/>
  <c r="E818" i="1"/>
  <c r="B819" i="1"/>
  <c r="E819" i="1"/>
  <c r="B820" i="1"/>
  <c r="E820" i="1"/>
  <c r="B821" i="1"/>
  <c r="E821" i="1"/>
  <c r="B822" i="1"/>
  <c r="E822" i="1"/>
  <c r="B823" i="1"/>
  <c r="E823" i="1"/>
  <c r="B824" i="1"/>
  <c r="E824" i="1"/>
  <c r="B825" i="1"/>
  <c r="E825" i="1"/>
  <c r="B826" i="1"/>
  <c r="E826" i="1"/>
  <c r="B827" i="1"/>
  <c r="E827" i="1"/>
  <c r="B828" i="1"/>
  <c r="E828" i="1"/>
  <c r="B829" i="1"/>
  <c r="E829" i="1"/>
  <c r="B830" i="1"/>
  <c r="E830" i="1"/>
  <c r="B831" i="1"/>
  <c r="E831" i="1"/>
  <c r="B832" i="1"/>
  <c r="E832" i="1"/>
  <c r="B833" i="1"/>
  <c r="E833" i="1"/>
  <c r="B834" i="1"/>
  <c r="E834" i="1"/>
  <c r="B835" i="1"/>
  <c r="E835" i="1"/>
  <c r="B836" i="1"/>
  <c r="E836" i="1"/>
  <c r="B837" i="1"/>
  <c r="E837" i="1"/>
  <c r="B838" i="1"/>
  <c r="E838" i="1"/>
  <c r="B839" i="1"/>
  <c r="E839" i="1"/>
  <c r="B840" i="1"/>
  <c r="E840" i="1"/>
  <c r="B841" i="1"/>
  <c r="E841" i="1"/>
  <c r="B842" i="1"/>
  <c r="E842" i="1"/>
  <c r="B843" i="1"/>
  <c r="E843" i="1"/>
  <c r="B844" i="1"/>
  <c r="E844" i="1"/>
  <c r="B845" i="1"/>
  <c r="E845" i="1"/>
  <c r="B846" i="1"/>
  <c r="E846" i="1"/>
  <c r="B847" i="1"/>
  <c r="E847" i="1"/>
  <c r="B848" i="1"/>
  <c r="E848" i="1"/>
  <c r="B849" i="1"/>
  <c r="E849" i="1"/>
  <c r="B850" i="1"/>
  <c r="E850" i="1"/>
  <c r="B851" i="1"/>
  <c r="E851" i="1"/>
  <c r="B852" i="1"/>
  <c r="E852" i="1"/>
  <c r="B853" i="1"/>
  <c r="E853" i="1"/>
  <c r="B854" i="1"/>
  <c r="E854" i="1"/>
  <c r="B855" i="1"/>
  <c r="E855" i="1"/>
  <c r="B856" i="1"/>
  <c r="E856" i="1"/>
  <c r="B857" i="1"/>
  <c r="E857" i="1"/>
  <c r="B858" i="1"/>
  <c r="E858" i="1"/>
  <c r="B859" i="1"/>
  <c r="E859" i="1"/>
  <c r="B860" i="1"/>
  <c r="E860" i="1"/>
  <c r="B861" i="1"/>
  <c r="E861" i="1"/>
  <c r="B862" i="1"/>
  <c r="E862" i="1"/>
  <c r="B863" i="1"/>
  <c r="E863" i="1"/>
  <c r="B864" i="1"/>
  <c r="E864" i="1"/>
  <c r="B865" i="1"/>
  <c r="E865" i="1"/>
  <c r="B866" i="1"/>
  <c r="E866" i="1"/>
  <c r="B867" i="1"/>
  <c r="E867" i="1"/>
  <c r="B868" i="1"/>
  <c r="E868" i="1"/>
  <c r="B869" i="1"/>
  <c r="E869" i="1"/>
  <c r="B870" i="1"/>
  <c r="E870" i="1"/>
  <c r="B871" i="1"/>
  <c r="E871" i="1"/>
  <c r="B872" i="1"/>
  <c r="E872" i="1"/>
  <c r="B873" i="1"/>
  <c r="E873" i="1"/>
  <c r="B874" i="1"/>
  <c r="E874" i="1"/>
  <c r="B875" i="1"/>
  <c r="E875" i="1"/>
  <c r="B876" i="1"/>
  <c r="E876" i="1"/>
  <c r="B877" i="1"/>
  <c r="E877" i="1"/>
  <c r="B878" i="1"/>
  <c r="E878" i="1"/>
  <c r="B879" i="1"/>
  <c r="E879" i="1"/>
  <c r="B880" i="1"/>
  <c r="E880" i="1"/>
  <c r="B881" i="1"/>
  <c r="E881" i="1"/>
  <c r="B882" i="1"/>
  <c r="E882" i="1"/>
  <c r="B883" i="1"/>
  <c r="E883" i="1"/>
  <c r="B884" i="1"/>
  <c r="E884" i="1"/>
  <c r="B885" i="1"/>
  <c r="E885" i="1"/>
  <c r="B886" i="1"/>
  <c r="E886" i="1"/>
  <c r="B887" i="1"/>
  <c r="E887" i="1"/>
  <c r="B888" i="1"/>
  <c r="E888" i="1"/>
  <c r="B889" i="1"/>
  <c r="E889" i="1"/>
  <c r="B890" i="1"/>
  <c r="E890" i="1"/>
  <c r="B891" i="1"/>
  <c r="E891" i="1"/>
  <c r="B892" i="1"/>
  <c r="E892" i="1"/>
  <c r="B893" i="1"/>
  <c r="E893" i="1"/>
  <c r="B894" i="1"/>
  <c r="E894" i="1"/>
  <c r="B895" i="1"/>
  <c r="E895" i="1"/>
  <c r="B896" i="1"/>
  <c r="E896" i="1"/>
  <c r="B897" i="1"/>
  <c r="E897" i="1"/>
  <c r="B898" i="1"/>
  <c r="E898" i="1"/>
  <c r="B899" i="1"/>
  <c r="E899" i="1"/>
  <c r="B900" i="1"/>
  <c r="E900" i="1"/>
  <c r="B901" i="1"/>
  <c r="E901" i="1"/>
  <c r="B902" i="1"/>
  <c r="E902" i="1"/>
  <c r="B903" i="1"/>
  <c r="E903" i="1"/>
  <c r="B904" i="1"/>
  <c r="E904" i="1"/>
  <c r="B905" i="1"/>
  <c r="E905" i="1"/>
  <c r="B906" i="1"/>
  <c r="E906" i="1"/>
  <c r="B907" i="1"/>
  <c r="E907" i="1"/>
  <c r="B908" i="1"/>
  <c r="E908" i="1"/>
  <c r="B909" i="1"/>
  <c r="E909" i="1"/>
  <c r="B910" i="1"/>
  <c r="E910" i="1"/>
  <c r="B911" i="1"/>
  <c r="E911" i="1"/>
  <c r="B912" i="1"/>
  <c r="E912" i="1"/>
  <c r="B913" i="1"/>
  <c r="E913" i="1"/>
  <c r="B914" i="1"/>
  <c r="E914" i="1"/>
  <c r="B915" i="1"/>
  <c r="E915" i="1"/>
  <c r="B916" i="1"/>
  <c r="E916" i="1"/>
  <c r="B917" i="1"/>
  <c r="E917" i="1"/>
  <c r="B918" i="1"/>
  <c r="E918" i="1"/>
  <c r="B919" i="1"/>
  <c r="E919" i="1"/>
  <c r="B920" i="1"/>
  <c r="E920" i="1"/>
  <c r="B921" i="1"/>
  <c r="E921" i="1"/>
  <c r="B922" i="1"/>
  <c r="E922" i="1"/>
  <c r="B923" i="1"/>
  <c r="E923" i="1"/>
  <c r="B924" i="1"/>
  <c r="E924" i="1"/>
  <c r="B925" i="1"/>
  <c r="E925" i="1"/>
  <c r="B926" i="1"/>
  <c r="E926" i="1"/>
  <c r="B927" i="1"/>
  <c r="E927" i="1"/>
  <c r="B928" i="1"/>
  <c r="E928" i="1"/>
  <c r="B929" i="1"/>
  <c r="E929" i="1"/>
  <c r="B930" i="1"/>
  <c r="E930" i="1"/>
  <c r="B931" i="1"/>
  <c r="E931" i="1"/>
  <c r="B932" i="1"/>
  <c r="E932" i="1"/>
  <c r="B933" i="1"/>
  <c r="E933" i="1"/>
  <c r="B934" i="1"/>
  <c r="E934" i="1"/>
  <c r="B935" i="1"/>
  <c r="E935" i="1"/>
  <c r="B936" i="1"/>
  <c r="E936" i="1"/>
  <c r="B937" i="1"/>
  <c r="E937" i="1"/>
  <c r="B938" i="1"/>
  <c r="E938" i="1"/>
  <c r="B939" i="1"/>
  <c r="E939" i="1"/>
  <c r="B940" i="1"/>
  <c r="E940" i="1"/>
  <c r="B941" i="1"/>
  <c r="E941" i="1"/>
  <c r="B942" i="1"/>
  <c r="E942" i="1"/>
  <c r="B943" i="1"/>
  <c r="E943" i="1"/>
  <c r="B944" i="1"/>
  <c r="E944" i="1"/>
  <c r="B945" i="1"/>
  <c r="E945" i="1"/>
  <c r="B946" i="1"/>
  <c r="E946" i="1"/>
  <c r="B947" i="1"/>
  <c r="E947" i="1"/>
  <c r="B948" i="1"/>
  <c r="E948" i="1"/>
  <c r="B949" i="1"/>
  <c r="E949" i="1"/>
  <c r="B950" i="1"/>
  <c r="E950" i="1"/>
  <c r="B951" i="1"/>
  <c r="E951" i="1"/>
  <c r="B952" i="1"/>
  <c r="E952" i="1"/>
  <c r="B953" i="1"/>
  <c r="E953" i="1"/>
  <c r="B954" i="1"/>
  <c r="E954" i="1"/>
  <c r="B955" i="1"/>
  <c r="E955" i="1"/>
  <c r="B956" i="1"/>
  <c r="E956" i="1"/>
  <c r="B957" i="1"/>
  <c r="E957" i="1"/>
  <c r="B958" i="1"/>
  <c r="E958" i="1"/>
  <c r="B959" i="1"/>
  <c r="E959" i="1"/>
  <c r="B960" i="1"/>
  <c r="E960" i="1"/>
  <c r="B961" i="1"/>
  <c r="E961" i="1"/>
  <c r="B962" i="1"/>
  <c r="E962" i="1"/>
  <c r="B963" i="1"/>
  <c r="E963" i="1"/>
  <c r="B964" i="1"/>
  <c r="E964" i="1"/>
  <c r="B965" i="1"/>
  <c r="E965" i="1"/>
  <c r="B966" i="1"/>
  <c r="E966" i="1"/>
  <c r="B967" i="1"/>
  <c r="E967" i="1"/>
  <c r="B968" i="1"/>
  <c r="E968" i="1"/>
  <c r="B969" i="1"/>
  <c r="E969" i="1"/>
  <c r="B970" i="1"/>
  <c r="E970" i="1"/>
  <c r="B971" i="1"/>
  <c r="E971" i="1"/>
  <c r="B972" i="1"/>
  <c r="E972" i="1"/>
  <c r="B973" i="1"/>
  <c r="E973" i="1"/>
  <c r="B974" i="1"/>
  <c r="E974" i="1"/>
  <c r="B975" i="1"/>
  <c r="E975" i="1"/>
  <c r="B976" i="1"/>
  <c r="E976" i="1"/>
  <c r="B977" i="1"/>
  <c r="E977" i="1"/>
  <c r="B978" i="1"/>
  <c r="E978" i="1"/>
  <c r="B979" i="1"/>
  <c r="E979" i="1"/>
  <c r="B980" i="1"/>
  <c r="E980" i="1"/>
  <c r="B981" i="1"/>
  <c r="E981" i="1"/>
  <c r="B982" i="1"/>
  <c r="E982" i="1"/>
  <c r="B983" i="1"/>
  <c r="E983" i="1"/>
  <c r="B984" i="1"/>
  <c r="E984" i="1"/>
  <c r="B985" i="1"/>
  <c r="E985" i="1"/>
  <c r="B986" i="1"/>
  <c r="E986" i="1"/>
  <c r="B987" i="1"/>
  <c r="E987" i="1"/>
  <c r="B988" i="1"/>
  <c r="E988" i="1"/>
  <c r="B989" i="1"/>
  <c r="E989" i="1"/>
  <c r="B990" i="1"/>
  <c r="E990" i="1"/>
  <c r="B991" i="1"/>
  <c r="E991" i="1"/>
  <c r="B992" i="1"/>
  <c r="E992" i="1"/>
  <c r="B993" i="1"/>
  <c r="E993" i="1"/>
  <c r="B994" i="1"/>
  <c r="E994" i="1"/>
  <c r="B995" i="1"/>
  <c r="E995" i="1"/>
  <c r="B996" i="1"/>
  <c r="E996" i="1"/>
  <c r="B997" i="1"/>
  <c r="E997" i="1"/>
  <c r="B998" i="1"/>
  <c r="E998" i="1"/>
  <c r="B999" i="1"/>
  <c r="E999" i="1"/>
  <c r="B1000" i="1"/>
  <c r="E1000" i="1"/>
  <c r="B1001" i="1"/>
  <c r="E1001" i="1"/>
  <c r="B1002" i="1"/>
  <c r="E1002" i="1"/>
  <c r="B1003" i="1"/>
  <c r="E1003" i="1"/>
  <c r="B1004" i="1"/>
  <c r="E1004" i="1"/>
  <c r="B1005" i="1"/>
  <c r="E1005" i="1"/>
  <c r="B1006" i="1"/>
  <c r="E1006" i="1"/>
  <c r="B1007" i="1"/>
  <c r="E1007" i="1"/>
  <c r="B1008" i="1"/>
  <c r="E1008" i="1"/>
  <c r="B1009" i="1"/>
  <c r="E1009" i="1"/>
  <c r="B1010" i="1"/>
  <c r="E1010" i="1"/>
  <c r="B1011" i="1"/>
  <c r="E1011" i="1"/>
  <c r="B1012" i="1"/>
  <c r="E1012" i="1"/>
  <c r="B1013" i="1"/>
  <c r="E1013" i="1"/>
  <c r="B1014" i="1"/>
  <c r="E1014" i="1"/>
  <c r="B1015" i="1"/>
  <c r="E1015" i="1"/>
  <c r="B1016" i="1"/>
  <c r="E1016" i="1"/>
  <c r="B1017" i="1"/>
  <c r="E1017" i="1"/>
  <c r="B1018" i="1"/>
  <c r="E1018" i="1"/>
  <c r="B1019" i="1"/>
  <c r="E1019" i="1"/>
  <c r="B1020" i="1"/>
  <c r="E1020" i="1"/>
  <c r="B1021" i="1"/>
  <c r="E1021" i="1"/>
  <c r="B1022" i="1"/>
  <c r="E1022" i="1"/>
  <c r="B1023" i="1"/>
  <c r="E1023" i="1"/>
  <c r="B1024" i="1"/>
  <c r="E1024" i="1"/>
  <c r="B1025" i="1"/>
  <c r="E1025" i="1"/>
  <c r="B1026" i="1"/>
  <c r="E1026" i="1"/>
  <c r="B1027" i="1"/>
  <c r="E1027" i="1"/>
  <c r="B1028" i="1"/>
  <c r="E1028" i="1"/>
  <c r="B1029" i="1"/>
  <c r="E1029" i="1"/>
  <c r="B1030" i="1"/>
  <c r="E1030" i="1"/>
  <c r="B1031" i="1"/>
  <c r="E1031" i="1"/>
  <c r="B1032" i="1"/>
  <c r="E1032" i="1"/>
  <c r="B1033" i="1"/>
  <c r="E1033" i="1"/>
  <c r="B1034" i="1"/>
  <c r="E1034" i="1"/>
  <c r="B1035" i="1"/>
  <c r="E1035" i="1"/>
  <c r="B1036" i="1"/>
  <c r="E1036" i="1"/>
  <c r="B1037" i="1"/>
  <c r="E1037" i="1"/>
  <c r="B1038" i="1"/>
  <c r="E1038" i="1"/>
  <c r="B1039" i="1"/>
  <c r="E1039" i="1"/>
  <c r="B1040" i="1"/>
  <c r="E1040" i="1"/>
  <c r="B1041" i="1"/>
  <c r="E1041" i="1"/>
  <c r="B1042" i="1"/>
  <c r="E1042" i="1"/>
  <c r="B1043" i="1"/>
  <c r="E1043" i="1"/>
  <c r="B1044" i="1"/>
  <c r="E1044" i="1"/>
  <c r="B1045" i="1"/>
  <c r="E1045" i="1"/>
  <c r="B1046" i="1"/>
  <c r="E1046" i="1"/>
  <c r="B1047" i="1"/>
  <c r="E1047" i="1"/>
  <c r="B1048" i="1"/>
  <c r="E1048" i="1"/>
  <c r="B1049" i="1"/>
  <c r="E1049" i="1"/>
  <c r="B1050" i="1"/>
  <c r="E1050" i="1"/>
  <c r="B1051" i="1"/>
  <c r="E1051" i="1"/>
  <c r="B1052" i="1"/>
  <c r="E1052" i="1"/>
  <c r="B1053" i="1"/>
  <c r="E1053" i="1"/>
  <c r="B1054" i="1"/>
  <c r="E1054" i="1"/>
  <c r="B1055" i="1"/>
  <c r="E1055" i="1"/>
  <c r="B1056" i="1"/>
  <c r="E1056" i="1"/>
  <c r="B1057" i="1"/>
  <c r="E1057" i="1"/>
  <c r="B1058" i="1"/>
  <c r="E1058" i="1"/>
  <c r="B1059" i="1"/>
  <c r="E1059" i="1"/>
  <c r="B1060" i="1"/>
  <c r="E1060" i="1"/>
  <c r="B1061" i="1"/>
  <c r="E1061" i="1"/>
  <c r="B1062" i="1"/>
  <c r="E1062" i="1"/>
  <c r="B1063" i="1"/>
  <c r="E1063" i="1"/>
  <c r="B1064" i="1"/>
  <c r="E1064" i="1"/>
  <c r="B1065" i="1"/>
  <c r="E1065" i="1"/>
  <c r="B1066" i="1"/>
  <c r="E1066" i="1"/>
  <c r="B1067" i="1"/>
  <c r="E1067" i="1"/>
  <c r="B1068" i="1"/>
  <c r="E1068" i="1"/>
  <c r="B1069" i="1"/>
  <c r="E1069" i="1"/>
  <c r="B1070" i="1"/>
  <c r="E1070" i="1"/>
  <c r="B1071" i="1"/>
  <c r="E1071" i="1"/>
  <c r="B1072" i="1"/>
  <c r="E1072" i="1"/>
  <c r="B1073" i="1"/>
  <c r="E1073" i="1"/>
  <c r="B1074" i="1"/>
  <c r="E1074" i="1"/>
  <c r="B1075" i="1"/>
  <c r="E1075" i="1"/>
  <c r="B1076" i="1"/>
  <c r="E1076" i="1"/>
  <c r="B1077" i="1"/>
  <c r="E1077" i="1"/>
  <c r="B1078" i="1"/>
  <c r="E1078" i="1"/>
  <c r="B1079" i="1"/>
  <c r="E1079" i="1"/>
  <c r="B1080" i="1"/>
  <c r="E1080" i="1"/>
  <c r="B1081" i="1"/>
  <c r="E1081" i="1"/>
  <c r="B1082" i="1"/>
  <c r="E1082" i="1"/>
  <c r="B1083" i="1"/>
  <c r="E1083" i="1"/>
  <c r="B1084" i="1"/>
  <c r="E1084" i="1"/>
  <c r="B1085" i="1"/>
  <c r="E1085" i="1"/>
  <c r="B1086" i="1"/>
  <c r="E1086" i="1"/>
  <c r="B1087" i="1"/>
  <c r="E1087" i="1"/>
  <c r="B1088" i="1"/>
  <c r="E1088" i="1"/>
  <c r="B1089" i="1"/>
  <c r="E1089" i="1"/>
  <c r="B1090" i="1"/>
  <c r="E1090" i="1"/>
  <c r="B1091" i="1"/>
  <c r="E1091" i="1"/>
  <c r="B1092" i="1"/>
  <c r="E1092" i="1"/>
  <c r="B1093" i="1"/>
  <c r="E1093" i="1"/>
  <c r="B1094" i="1"/>
  <c r="E1094" i="1"/>
  <c r="B1095" i="1"/>
  <c r="E1095" i="1"/>
  <c r="B1096" i="1"/>
  <c r="E1096" i="1"/>
  <c r="B1097" i="1"/>
  <c r="E1097" i="1"/>
  <c r="B1098" i="1"/>
  <c r="E1098" i="1"/>
  <c r="B1099" i="1"/>
  <c r="E1099" i="1"/>
  <c r="B1100" i="1"/>
  <c r="E1100" i="1"/>
  <c r="B1101" i="1"/>
  <c r="E1101" i="1"/>
  <c r="B1102" i="1"/>
  <c r="E1102" i="1"/>
  <c r="B1103" i="1"/>
  <c r="E1103" i="1"/>
  <c r="B1104" i="1"/>
  <c r="E1104" i="1"/>
  <c r="B1105" i="1"/>
  <c r="E1105" i="1"/>
  <c r="B1106" i="1"/>
  <c r="E1106" i="1"/>
  <c r="B1107" i="1"/>
  <c r="E1107" i="1"/>
  <c r="B1108" i="1"/>
  <c r="E1108" i="1"/>
  <c r="B1109" i="1"/>
  <c r="E1109" i="1"/>
  <c r="B1110" i="1"/>
  <c r="E1110" i="1"/>
  <c r="B1111" i="1"/>
  <c r="E1111" i="1"/>
  <c r="B1112" i="1"/>
  <c r="E1112" i="1"/>
  <c r="B1113" i="1"/>
  <c r="E1113" i="1"/>
  <c r="B1114" i="1"/>
  <c r="E1114" i="1"/>
  <c r="B1115" i="1"/>
  <c r="E1115" i="1"/>
  <c r="B1116" i="1"/>
  <c r="E1116" i="1"/>
  <c r="B1117" i="1"/>
  <c r="E1117" i="1"/>
  <c r="B1118" i="1"/>
  <c r="E1118" i="1"/>
  <c r="B1119" i="1"/>
  <c r="E1119" i="1"/>
  <c r="B1120" i="1"/>
  <c r="E1120" i="1"/>
  <c r="B1121" i="1"/>
  <c r="E1121" i="1"/>
  <c r="B1122" i="1"/>
  <c r="E1122" i="1"/>
  <c r="B1123" i="1"/>
  <c r="E1123" i="1"/>
  <c r="B1124" i="1"/>
  <c r="E1124" i="1"/>
  <c r="B1125" i="1"/>
  <c r="E1125" i="1"/>
  <c r="B1126" i="1"/>
  <c r="E1126" i="1"/>
  <c r="B1127" i="1"/>
  <c r="E1127" i="1"/>
  <c r="B1128" i="1"/>
  <c r="E1128" i="1"/>
  <c r="B1129" i="1"/>
  <c r="E1129" i="1"/>
  <c r="B1130" i="1"/>
  <c r="E1130" i="1"/>
  <c r="B1131" i="1"/>
  <c r="E1131" i="1"/>
  <c r="B1132" i="1"/>
  <c r="E1132" i="1"/>
  <c r="B1133" i="1"/>
  <c r="E1133" i="1"/>
  <c r="B1134" i="1"/>
  <c r="E1134" i="1"/>
  <c r="B1135" i="1"/>
  <c r="E1135" i="1"/>
  <c r="B1136" i="1"/>
  <c r="E1136" i="1"/>
  <c r="B1137" i="1"/>
  <c r="E1137" i="1"/>
  <c r="B1138" i="1"/>
  <c r="E1138" i="1"/>
  <c r="B1139" i="1"/>
  <c r="E1139" i="1"/>
  <c r="B1140" i="1"/>
  <c r="E1140" i="1"/>
  <c r="B1141" i="1"/>
  <c r="E1141" i="1"/>
  <c r="B1142" i="1"/>
  <c r="E1142" i="1"/>
  <c r="B1143" i="1"/>
  <c r="E1143" i="1"/>
  <c r="B1144" i="1"/>
  <c r="E1144" i="1"/>
  <c r="B1145" i="1"/>
  <c r="E1145" i="1"/>
  <c r="B1146" i="1"/>
  <c r="E1146" i="1"/>
  <c r="B1147" i="1"/>
  <c r="E1147" i="1"/>
  <c r="B1148" i="1"/>
  <c r="E1148" i="1"/>
  <c r="B1149" i="1"/>
  <c r="E1149" i="1"/>
  <c r="B1150" i="1"/>
  <c r="E1150" i="1"/>
  <c r="B1151" i="1"/>
  <c r="E1151" i="1"/>
  <c r="B1152" i="1"/>
  <c r="E1152" i="1"/>
  <c r="B1153" i="1"/>
  <c r="E1153" i="1"/>
  <c r="B1154" i="1"/>
  <c r="E1154" i="1"/>
  <c r="B1155" i="1"/>
  <c r="E1155" i="1"/>
  <c r="B1156" i="1"/>
  <c r="E1156" i="1"/>
  <c r="B1157" i="1"/>
  <c r="E1157" i="1"/>
  <c r="B1158" i="1"/>
  <c r="E1158" i="1"/>
  <c r="B1159" i="1"/>
  <c r="E1159" i="1"/>
  <c r="B1160" i="1"/>
  <c r="E1160" i="1"/>
  <c r="B1161" i="1"/>
  <c r="E1161" i="1"/>
  <c r="B1162" i="1"/>
  <c r="E1162" i="1"/>
  <c r="B1163" i="1"/>
  <c r="E1163" i="1"/>
  <c r="B1164" i="1"/>
  <c r="E1164" i="1"/>
  <c r="B1165" i="1"/>
  <c r="E1165" i="1"/>
  <c r="B1166" i="1"/>
  <c r="E1166" i="1"/>
  <c r="B1167" i="1"/>
  <c r="E1167" i="1"/>
  <c r="B1168" i="1"/>
  <c r="E1168" i="1"/>
  <c r="B1169" i="1"/>
  <c r="E1169" i="1"/>
  <c r="B1170" i="1"/>
  <c r="E1170" i="1"/>
  <c r="B1171" i="1"/>
  <c r="E1171" i="1"/>
  <c r="B1172" i="1"/>
  <c r="E1172" i="1"/>
  <c r="B1173" i="1"/>
  <c r="E1173" i="1"/>
  <c r="B1174" i="1"/>
  <c r="E1174" i="1"/>
  <c r="B1175" i="1"/>
  <c r="E1175" i="1"/>
  <c r="B1176" i="1"/>
  <c r="E1176" i="1"/>
  <c r="B1177" i="1"/>
  <c r="E1177" i="1"/>
  <c r="B1178" i="1"/>
  <c r="E1178" i="1"/>
  <c r="B1179" i="1"/>
  <c r="E1179" i="1"/>
  <c r="B1180" i="1"/>
  <c r="E1180" i="1"/>
  <c r="B1181" i="1"/>
  <c r="E1181" i="1"/>
  <c r="B1182" i="1"/>
  <c r="E1182" i="1"/>
  <c r="B1183" i="1"/>
  <c r="E1183" i="1"/>
  <c r="B1184" i="1"/>
  <c r="E1184" i="1"/>
  <c r="B1185" i="1"/>
  <c r="E1185" i="1"/>
  <c r="B1186" i="1"/>
  <c r="E1186" i="1"/>
  <c r="B1187" i="1"/>
  <c r="E1187" i="1"/>
  <c r="B1188" i="1"/>
  <c r="E1188" i="1"/>
  <c r="B1189" i="1"/>
  <c r="E1189" i="1"/>
  <c r="B1190" i="1"/>
  <c r="E1190" i="1"/>
  <c r="B1191" i="1"/>
  <c r="E1191" i="1"/>
  <c r="B1192" i="1"/>
  <c r="E1192" i="1"/>
  <c r="B1193" i="1"/>
  <c r="E1193" i="1"/>
  <c r="B1194" i="1"/>
  <c r="E1194" i="1"/>
  <c r="B1195" i="1"/>
  <c r="E1195" i="1"/>
  <c r="B1196" i="1"/>
  <c r="E1196" i="1"/>
  <c r="B1197" i="1"/>
  <c r="E1197" i="1"/>
  <c r="B1198" i="1"/>
  <c r="E1198" i="1"/>
  <c r="B1199" i="1"/>
  <c r="E1199" i="1"/>
  <c r="B1200" i="1"/>
  <c r="E1200" i="1"/>
  <c r="B1201" i="1"/>
  <c r="E1201" i="1"/>
  <c r="B1202" i="1"/>
  <c r="E1202" i="1"/>
  <c r="B1203" i="1"/>
  <c r="E1203" i="1"/>
  <c r="B1204" i="1"/>
  <c r="E1204" i="1"/>
  <c r="B1205" i="1"/>
  <c r="E1205" i="1"/>
  <c r="B1206" i="1"/>
  <c r="E1206" i="1"/>
  <c r="B1207" i="1"/>
  <c r="E1207" i="1"/>
  <c r="B1208" i="1"/>
  <c r="E1208" i="1"/>
  <c r="B1209" i="1"/>
  <c r="E1209" i="1"/>
  <c r="B1210" i="1"/>
  <c r="E1210" i="1"/>
  <c r="B1211" i="1"/>
  <c r="E1211" i="1"/>
  <c r="B1212" i="1"/>
  <c r="E1212" i="1"/>
  <c r="B1213" i="1"/>
  <c r="E1213" i="1"/>
  <c r="B1214" i="1"/>
  <c r="E1214" i="1"/>
  <c r="B1215" i="1"/>
  <c r="E1215" i="1"/>
  <c r="B1216" i="1"/>
  <c r="E1216" i="1"/>
  <c r="B1217" i="1"/>
  <c r="E1217" i="1"/>
  <c r="B1218" i="1"/>
  <c r="E1218" i="1"/>
  <c r="B1219" i="1"/>
  <c r="E1219" i="1"/>
  <c r="B1220" i="1"/>
  <c r="E1220" i="1"/>
  <c r="B1221" i="1"/>
  <c r="E1221" i="1"/>
  <c r="B1222" i="1"/>
  <c r="E1222" i="1"/>
  <c r="B1223" i="1"/>
  <c r="E1223" i="1"/>
  <c r="B1224" i="1"/>
  <c r="E1224" i="1"/>
  <c r="B1225" i="1"/>
  <c r="E1225" i="1"/>
  <c r="B1226" i="1"/>
  <c r="E1226" i="1"/>
  <c r="B1227" i="1"/>
  <c r="E1227" i="1"/>
  <c r="B1228" i="1"/>
  <c r="E1228" i="1"/>
  <c r="B1229" i="1"/>
  <c r="E1229" i="1"/>
  <c r="B1230" i="1"/>
  <c r="E1230" i="1"/>
  <c r="B1231" i="1"/>
  <c r="E1231" i="1"/>
  <c r="B1232" i="1"/>
  <c r="E1232" i="1"/>
  <c r="B1233" i="1"/>
  <c r="E1233" i="1"/>
  <c r="B1234" i="1"/>
  <c r="E1234" i="1"/>
  <c r="B1235" i="1"/>
  <c r="E1235" i="1"/>
  <c r="B1236" i="1"/>
  <c r="E1236" i="1"/>
  <c r="B1237" i="1"/>
  <c r="E1237" i="1"/>
  <c r="B1238" i="1"/>
  <c r="E1238" i="1"/>
  <c r="B1239" i="1"/>
  <c r="E1239" i="1"/>
  <c r="B1240" i="1"/>
  <c r="E1240" i="1"/>
  <c r="B1241" i="1"/>
  <c r="E1241" i="1"/>
  <c r="B1242" i="1"/>
  <c r="E1242" i="1"/>
  <c r="B1243" i="1"/>
  <c r="E1243" i="1"/>
  <c r="B1244" i="1"/>
  <c r="E1244" i="1"/>
  <c r="B1245" i="1"/>
  <c r="E1245" i="1"/>
  <c r="B1246" i="1"/>
  <c r="E1246" i="1"/>
  <c r="B1247" i="1"/>
  <c r="E1247" i="1"/>
  <c r="B1248" i="1"/>
  <c r="E1248" i="1"/>
  <c r="B1249" i="1"/>
  <c r="E1249" i="1"/>
  <c r="B1250" i="1"/>
  <c r="E1250" i="1"/>
  <c r="B1251" i="1"/>
  <c r="E1251" i="1"/>
  <c r="B1252" i="1"/>
  <c r="E1252" i="1"/>
  <c r="B1253" i="1"/>
  <c r="E1253" i="1"/>
  <c r="B1254" i="1"/>
  <c r="E1254" i="1"/>
  <c r="B1255" i="1"/>
  <c r="E1255" i="1"/>
  <c r="B1256" i="1"/>
  <c r="E1256" i="1"/>
  <c r="B1257" i="1"/>
  <c r="E1257" i="1"/>
  <c r="B1258" i="1"/>
  <c r="E1258" i="1"/>
  <c r="B1259" i="1"/>
  <c r="E1259" i="1"/>
  <c r="B1260" i="1"/>
  <c r="E1260" i="1"/>
  <c r="B1261" i="1"/>
  <c r="E1261" i="1"/>
  <c r="B1262" i="1"/>
  <c r="E1262" i="1"/>
  <c r="B1263" i="1"/>
  <c r="E1263" i="1"/>
  <c r="B1264" i="1"/>
  <c r="E1264" i="1"/>
  <c r="B1265" i="1"/>
  <c r="E1265" i="1"/>
  <c r="B1266" i="1"/>
  <c r="E1266" i="1"/>
  <c r="B1267" i="1"/>
  <c r="E1267" i="1"/>
  <c r="B1268" i="1"/>
  <c r="E1268" i="1"/>
  <c r="B1269" i="1"/>
  <c r="E1269" i="1"/>
  <c r="B1270" i="1"/>
  <c r="E1270" i="1"/>
  <c r="B1271" i="1"/>
  <c r="E1271" i="1"/>
  <c r="B1272" i="1"/>
  <c r="E1272" i="1"/>
  <c r="B1273" i="1"/>
  <c r="E1273" i="1"/>
  <c r="B1274" i="1"/>
  <c r="E1274" i="1"/>
  <c r="B1275" i="1"/>
  <c r="E1275" i="1"/>
  <c r="B1276" i="1"/>
  <c r="E1276" i="1"/>
  <c r="B1277" i="1"/>
  <c r="E1277" i="1"/>
  <c r="B1278" i="1"/>
  <c r="E1278" i="1"/>
  <c r="B1279" i="1"/>
  <c r="E1279" i="1"/>
  <c r="B1280" i="1"/>
  <c r="E1280" i="1"/>
  <c r="B1281" i="1"/>
  <c r="E1281" i="1"/>
  <c r="B1282" i="1"/>
  <c r="E1282" i="1"/>
  <c r="B1283" i="1"/>
  <c r="E1283" i="1"/>
  <c r="B1284" i="1"/>
  <c r="E1284" i="1"/>
  <c r="B1285" i="1"/>
  <c r="E1285" i="1"/>
  <c r="B1286" i="1"/>
  <c r="E1286" i="1"/>
  <c r="B1287" i="1"/>
  <c r="E1287" i="1"/>
  <c r="B1288" i="1"/>
  <c r="E1288" i="1"/>
  <c r="B1289" i="1"/>
  <c r="E1289" i="1"/>
  <c r="B1290" i="1"/>
  <c r="E1290" i="1"/>
  <c r="B1291" i="1"/>
  <c r="E1291" i="1"/>
  <c r="B1292" i="1"/>
  <c r="E1292" i="1"/>
  <c r="B1293" i="1"/>
  <c r="E1293" i="1"/>
  <c r="B1294" i="1"/>
  <c r="E1294" i="1"/>
  <c r="B1295" i="1"/>
  <c r="E1295" i="1"/>
  <c r="B1296" i="1"/>
  <c r="E1296" i="1"/>
  <c r="B1297" i="1"/>
  <c r="E1297" i="1"/>
  <c r="B1298" i="1"/>
  <c r="E1298" i="1"/>
  <c r="B1299" i="1"/>
  <c r="E1299" i="1"/>
  <c r="B1300" i="1"/>
  <c r="E1300" i="1"/>
  <c r="B1301" i="1"/>
  <c r="E1301" i="1"/>
  <c r="B1302" i="1"/>
  <c r="E1302" i="1"/>
  <c r="B1303" i="1"/>
  <c r="E1303" i="1"/>
  <c r="B1304" i="1"/>
  <c r="E1304" i="1"/>
  <c r="B1305" i="1"/>
  <c r="E1305" i="1"/>
  <c r="B1306" i="1"/>
  <c r="E1306" i="1"/>
  <c r="B1307" i="1"/>
  <c r="E1307" i="1"/>
  <c r="B1308" i="1"/>
  <c r="E1308" i="1"/>
  <c r="B1309" i="1"/>
  <c r="E1309" i="1"/>
  <c r="B1310" i="1"/>
  <c r="E1310" i="1"/>
  <c r="B1311" i="1"/>
  <c r="E1311" i="1"/>
  <c r="B1312" i="1"/>
  <c r="E1312" i="1"/>
  <c r="B1313" i="1"/>
  <c r="E1313" i="1"/>
  <c r="B1314" i="1"/>
  <c r="E1314" i="1"/>
  <c r="B1315" i="1"/>
  <c r="E1315" i="1"/>
  <c r="B1316" i="1"/>
  <c r="E1316" i="1"/>
  <c r="B1317" i="1"/>
  <c r="E1317" i="1"/>
  <c r="B1318" i="1"/>
  <c r="E1318" i="1"/>
  <c r="B1319" i="1"/>
  <c r="E1319" i="1"/>
  <c r="B1320" i="1"/>
  <c r="E1320" i="1"/>
  <c r="B1321" i="1"/>
  <c r="E1321" i="1"/>
  <c r="B1322" i="1"/>
  <c r="E1322" i="1"/>
  <c r="B1323" i="1"/>
  <c r="E1323" i="1"/>
  <c r="B1324" i="1"/>
  <c r="E1324" i="1"/>
  <c r="B1325" i="1"/>
  <c r="E1325" i="1"/>
  <c r="B1326" i="1"/>
  <c r="E1326" i="1"/>
  <c r="B1327" i="1"/>
  <c r="E1327" i="1"/>
  <c r="B1328" i="1"/>
  <c r="E1328" i="1"/>
  <c r="B1329" i="1"/>
  <c r="E1329" i="1"/>
  <c r="B1330" i="1"/>
  <c r="E1330" i="1"/>
  <c r="B1331" i="1"/>
  <c r="E1331" i="1"/>
  <c r="B1332" i="1"/>
  <c r="E1332" i="1"/>
  <c r="B1333" i="1"/>
  <c r="E1333" i="1"/>
  <c r="B1334" i="1"/>
  <c r="E1334" i="1"/>
  <c r="B1335" i="1"/>
  <c r="E1335" i="1"/>
  <c r="B1336" i="1"/>
  <c r="E1336" i="1"/>
  <c r="B1337" i="1"/>
  <c r="E1337" i="1"/>
  <c r="B1338" i="1"/>
  <c r="E1338" i="1"/>
  <c r="B1339" i="1"/>
  <c r="E1339" i="1"/>
  <c r="B1340" i="1"/>
  <c r="E1340" i="1"/>
  <c r="B1341" i="1"/>
  <c r="E1341" i="1"/>
  <c r="B1342" i="1"/>
  <c r="E1342" i="1"/>
  <c r="B1343" i="1"/>
  <c r="E1343" i="1"/>
  <c r="B1344" i="1"/>
  <c r="E1344" i="1"/>
  <c r="B1345" i="1"/>
  <c r="E1345" i="1"/>
  <c r="B1346" i="1"/>
  <c r="E1346" i="1"/>
  <c r="B1347" i="1"/>
  <c r="E1347" i="1"/>
  <c r="B1348" i="1"/>
  <c r="E1348" i="1"/>
  <c r="B1349" i="1"/>
  <c r="E1349" i="1"/>
  <c r="B1350" i="1"/>
  <c r="E1350" i="1"/>
  <c r="B1351" i="1"/>
  <c r="E1351" i="1"/>
  <c r="B1352" i="1"/>
  <c r="E1352" i="1"/>
  <c r="B1353" i="1"/>
  <c r="E1353" i="1"/>
  <c r="B1354" i="1"/>
  <c r="E1354" i="1"/>
  <c r="B1355" i="1"/>
  <c r="E1355" i="1"/>
  <c r="B1356" i="1"/>
  <c r="E1356" i="1"/>
  <c r="B1357" i="1"/>
  <c r="E1357" i="1"/>
  <c r="B1358" i="1"/>
  <c r="E1358" i="1"/>
  <c r="B1359" i="1"/>
  <c r="E1359" i="1"/>
  <c r="B1360" i="1"/>
  <c r="E1360" i="1"/>
  <c r="B1361" i="1"/>
  <c r="E1361" i="1"/>
  <c r="B1362" i="1"/>
  <c r="E1362" i="1"/>
  <c r="B1363" i="1"/>
  <c r="E1363" i="1"/>
  <c r="B1364" i="1"/>
  <c r="E1364" i="1"/>
  <c r="B1365" i="1"/>
  <c r="E1365" i="1"/>
  <c r="B1366" i="1"/>
  <c r="E1366" i="1"/>
  <c r="B1367" i="1"/>
  <c r="E1367" i="1"/>
  <c r="B1368" i="1"/>
  <c r="E1368" i="1"/>
  <c r="B1369" i="1"/>
  <c r="E1369" i="1"/>
  <c r="B1370" i="1"/>
  <c r="E1370" i="1"/>
  <c r="B1371" i="1"/>
  <c r="E1371" i="1"/>
  <c r="B1372" i="1"/>
  <c r="E1372" i="1"/>
  <c r="B1373" i="1"/>
  <c r="E1373" i="1"/>
  <c r="B1374" i="1"/>
  <c r="E1374" i="1"/>
  <c r="B1375" i="1"/>
  <c r="E1375" i="1"/>
  <c r="B1376" i="1"/>
  <c r="E1376" i="1"/>
  <c r="B1377" i="1"/>
  <c r="E1377" i="1"/>
  <c r="B1378" i="1"/>
  <c r="E1378" i="1"/>
  <c r="B1379" i="1"/>
  <c r="E1379" i="1"/>
  <c r="B1380" i="1"/>
  <c r="E1380" i="1"/>
  <c r="B1381" i="1"/>
  <c r="E1381" i="1"/>
  <c r="B1382" i="1"/>
  <c r="E1382" i="1"/>
  <c r="B1383" i="1"/>
  <c r="E1383" i="1"/>
  <c r="B1384" i="1"/>
  <c r="E1384" i="1"/>
  <c r="B1385" i="1"/>
  <c r="E1385" i="1"/>
  <c r="B1386" i="1"/>
  <c r="E1386" i="1"/>
  <c r="B1387" i="1"/>
  <c r="E1387" i="1"/>
  <c r="B1388" i="1"/>
  <c r="E1388" i="1"/>
  <c r="B1389" i="1"/>
  <c r="E1389" i="1"/>
  <c r="B1390" i="1"/>
  <c r="E1390" i="1"/>
  <c r="B1391" i="1"/>
  <c r="E1391" i="1"/>
  <c r="B1392" i="1"/>
  <c r="E1392" i="1"/>
  <c r="B1393" i="1"/>
  <c r="E1393" i="1"/>
  <c r="B1394" i="1"/>
  <c r="E1394" i="1"/>
  <c r="B1395" i="1"/>
  <c r="E1395" i="1"/>
  <c r="B1396" i="1"/>
  <c r="E1396" i="1"/>
  <c r="B1397" i="1"/>
  <c r="E1397" i="1"/>
  <c r="B1398" i="1"/>
  <c r="E1398" i="1"/>
  <c r="B1399" i="1"/>
  <c r="E1399" i="1"/>
  <c r="B1400" i="1"/>
  <c r="E1400" i="1"/>
  <c r="B1401" i="1"/>
  <c r="E1401" i="1"/>
  <c r="B1402" i="1"/>
  <c r="E1402" i="1"/>
  <c r="B1403" i="1"/>
  <c r="E1403" i="1"/>
  <c r="B1404" i="1"/>
  <c r="E1404" i="1"/>
  <c r="B1405" i="1"/>
  <c r="E1405" i="1"/>
  <c r="B1406" i="1"/>
  <c r="E1406" i="1"/>
  <c r="B1407" i="1"/>
  <c r="E1407" i="1"/>
  <c r="B1408" i="1"/>
  <c r="E1408" i="1"/>
  <c r="B1409" i="1"/>
  <c r="E1409" i="1"/>
  <c r="B1410" i="1"/>
  <c r="E1410" i="1"/>
  <c r="B1411" i="1"/>
  <c r="E1411" i="1"/>
  <c r="B1412" i="1"/>
  <c r="E1412" i="1"/>
  <c r="B1413" i="1"/>
  <c r="E1413" i="1"/>
  <c r="B1414" i="1"/>
  <c r="E1414" i="1"/>
  <c r="B1415" i="1"/>
  <c r="E1415" i="1"/>
  <c r="B1416" i="1"/>
  <c r="E1416" i="1"/>
  <c r="B1417" i="1"/>
  <c r="E1417" i="1"/>
  <c r="B1418" i="1"/>
  <c r="E1418" i="1"/>
  <c r="B1419" i="1"/>
  <c r="E1419" i="1"/>
  <c r="B1420" i="1"/>
  <c r="E1420" i="1"/>
  <c r="B1421" i="1"/>
  <c r="E1421" i="1"/>
  <c r="B1422" i="1"/>
  <c r="E1422" i="1"/>
  <c r="B1423" i="1"/>
  <c r="E1423" i="1"/>
  <c r="B1424" i="1"/>
  <c r="E1424" i="1"/>
  <c r="B1425" i="1"/>
  <c r="E1425" i="1"/>
  <c r="B1426" i="1"/>
  <c r="E1426" i="1"/>
  <c r="B1427" i="1"/>
  <c r="E1427" i="1"/>
  <c r="B1428" i="1"/>
  <c r="E1428" i="1"/>
  <c r="B1429" i="1"/>
  <c r="E1429" i="1"/>
  <c r="B1430" i="1"/>
  <c r="E1430" i="1"/>
  <c r="B1431" i="1"/>
  <c r="E1431" i="1"/>
  <c r="B1432" i="1"/>
  <c r="E1432" i="1"/>
  <c r="B1433" i="1"/>
  <c r="E1433" i="1"/>
  <c r="B1434" i="1"/>
  <c r="E1434" i="1"/>
  <c r="B1435" i="1"/>
  <c r="E1435" i="1"/>
  <c r="B1436" i="1"/>
  <c r="E1436" i="1"/>
  <c r="B1437" i="1"/>
  <c r="E1437" i="1"/>
  <c r="B1438" i="1"/>
  <c r="E1438" i="1"/>
  <c r="B1439" i="1"/>
  <c r="E1439" i="1"/>
  <c r="B1440" i="1"/>
  <c r="E1440" i="1"/>
  <c r="B1441" i="1"/>
  <c r="E1441" i="1"/>
  <c r="B1442" i="1"/>
  <c r="E1442" i="1"/>
  <c r="B1443" i="1"/>
  <c r="E1443" i="1"/>
  <c r="B1444" i="1"/>
  <c r="E1444" i="1"/>
  <c r="B1445" i="1"/>
  <c r="E1445" i="1"/>
  <c r="B1446" i="1"/>
  <c r="E1446" i="1"/>
</calcChain>
</file>

<file path=xl/sharedStrings.xml><?xml version="1.0" encoding="utf-8"?>
<sst xmlns="http://schemas.openxmlformats.org/spreadsheetml/2006/main" count="4344" uniqueCount="468">
  <si>
    <t>County</t>
  </si>
  <si>
    <t xml:space="preserve"> Base Yr</t>
  </si>
  <si>
    <t xml:space="preserve"> Current Value</t>
  </si>
  <si>
    <t xml:space="preserve"> Base Value</t>
  </si>
  <si>
    <t xml:space="preserve"> Increment</t>
  </si>
  <si>
    <t xml:space="preserve">ADAMS                                   </t>
  </si>
  <si>
    <t xml:space="preserve">TOWN       </t>
  </si>
  <si>
    <t xml:space="preserve">ROME                                    </t>
  </si>
  <si>
    <t xml:space="preserve">CITY       </t>
  </si>
  <si>
    <t xml:space="preserve">WISCONSIN DELLS                         </t>
  </si>
  <si>
    <t xml:space="preserve">ASHLAND                                 </t>
  </si>
  <si>
    <t xml:space="preserve">BARRON                                  </t>
  </si>
  <si>
    <t xml:space="preserve">VILLAGE    </t>
  </si>
  <si>
    <t xml:space="preserve">CAMERON                                 </t>
  </si>
  <si>
    <t xml:space="preserve">DALLAS                                  </t>
  </si>
  <si>
    <t xml:space="preserve">TURTLE LAKE                             </t>
  </si>
  <si>
    <t xml:space="preserve">CHETEK                                  </t>
  </si>
  <si>
    <t xml:space="preserve">CUMBERLAND                              </t>
  </si>
  <si>
    <t xml:space="preserve">RICE LAKE                               </t>
  </si>
  <si>
    <t xml:space="preserve">BAYFIELD                                </t>
  </si>
  <si>
    <t xml:space="preserve">MASON                                   </t>
  </si>
  <si>
    <t xml:space="preserve">WASHBURN                                </t>
  </si>
  <si>
    <t xml:space="preserve">BROWN                                   </t>
  </si>
  <si>
    <t xml:space="preserve">LAWRENCE                                </t>
  </si>
  <si>
    <t xml:space="preserve">LEDGEVIEW                               </t>
  </si>
  <si>
    <t xml:space="preserve">ALLOUEZ                                 </t>
  </si>
  <si>
    <t xml:space="preserve">ASHWAUBENON                             </t>
  </si>
  <si>
    <t xml:space="preserve">BELLEVUE                                </t>
  </si>
  <si>
    <t xml:space="preserve">DENMARK                                 </t>
  </si>
  <si>
    <t xml:space="preserve">HOBART                                  </t>
  </si>
  <si>
    <t xml:space="preserve">HOWARD                                  </t>
  </si>
  <si>
    <t xml:space="preserve">PULASKI                                 </t>
  </si>
  <si>
    <t xml:space="preserve">SUAMICO                                 </t>
  </si>
  <si>
    <t xml:space="preserve">WRIGHTSTOWN                             </t>
  </si>
  <si>
    <t xml:space="preserve">DE PERE                                 </t>
  </si>
  <si>
    <t xml:space="preserve">GREEN BAY                               </t>
  </si>
  <si>
    <t xml:space="preserve">BUFFALO                                 </t>
  </si>
  <si>
    <t xml:space="preserve">COCHRANE                                </t>
  </si>
  <si>
    <t xml:space="preserve">MONDOVI                                 </t>
  </si>
  <si>
    <t xml:space="preserve">BURNETT                                 </t>
  </si>
  <si>
    <t xml:space="preserve">GRANTSBURG                              </t>
  </si>
  <si>
    <t xml:space="preserve">SIREN                                   </t>
  </si>
  <si>
    <t xml:space="preserve">WEBSTER                                 </t>
  </si>
  <si>
    <t xml:space="preserve">CALUMET                                 </t>
  </si>
  <si>
    <t xml:space="preserve">HARRISON                                </t>
  </si>
  <si>
    <t xml:space="preserve">HILBERT                                 </t>
  </si>
  <si>
    <t xml:space="preserve">SHERWOOD                                </t>
  </si>
  <si>
    <t xml:space="preserve">APPLETON                                </t>
  </si>
  <si>
    <t xml:space="preserve">BRILLION                                </t>
  </si>
  <si>
    <t xml:space="preserve">CHILTON                                 </t>
  </si>
  <si>
    <t xml:space="preserve">KIEL                                    </t>
  </si>
  <si>
    <t xml:space="preserve">MENASHA                                 </t>
  </si>
  <si>
    <t xml:space="preserve">NEW HOLSTEIN                            </t>
  </si>
  <si>
    <t xml:space="preserve">CHIPPEWA                                </t>
  </si>
  <si>
    <t xml:space="preserve">CADOTT                                  </t>
  </si>
  <si>
    <t xml:space="preserve">LAKE HALLIE                             </t>
  </si>
  <si>
    <t xml:space="preserve">NEW AUBURN                              </t>
  </si>
  <si>
    <t xml:space="preserve">BLOOMER                                 </t>
  </si>
  <si>
    <t xml:space="preserve">CHIPPEWA FALLS                          </t>
  </si>
  <si>
    <t xml:space="preserve">EAU CLAIRE                              </t>
  </si>
  <si>
    <t xml:space="preserve">STANLEY                                 </t>
  </si>
  <si>
    <t xml:space="preserve">CLARK                                   </t>
  </si>
  <si>
    <t xml:space="preserve">GRANTON                                 </t>
  </si>
  <si>
    <t xml:space="preserve">UNITY                                   </t>
  </si>
  <si>
    <t xml:space="preserve">WITHEE                                  </t>
  </si>
  <si>
    <t xml:space="preserve">ABBOTSFORD                              </t>
  </si>
  <si>
    <t xml:space="preserve">COLBY                                   </t>
  </si>
  <si>
    <t xml:space="preserve">GREENWOOD                               </t>
  </si>
  <si>
    <t xml:space="preserve">NEILLSVILLE                             </t>
  </si>
  <si>
    <t xml:space="preserve">OWEN                                    </t>
  </si>
  <si>
    <t xml:space="preserve">THORP                                   </t>
  </si>
  <si>
    <t xml:space="preserve">COLUMBIA                                </t>
  </si>
  <si>
    <t xml:space="preserve">ARLINGTON                               </t>
  </si>
  <si>
    <t xml:space="preserve">FALL RIVER                              </t>
  </si>
  <si>
    <t xml:space="preserve">PARDEEVILLE                             </t>
  </si>
  <si>
    <t xml:space="preserve">POYNETTE                                </t>
  </si>
  <si>
    <t xml:space="preserve">RANDOLPH                                </t>
  </si>
  <si>
    <t xml:space="preserve">COLUMBUS                                </t>
  </si>
  <si>
    <t xml:space="preserve">LODI                                    </t>
  </si>
  <si>
    <t xml:space="preserve">PORTAGE                                 </t>
  </si>
  <si>
    <t xml:space="preserve">CRAWFORD                                </t>
  </si>
  <si>
    <t xml:space="preserve">GAYS MILLS                              </t>
  </si>
  <si>
    <t xml:space="preserve">PRAIRIE DU CHIEN                        </t>
  </si>
  <si>
    <t xml:space="preserve">DANE                                    </t>
  </si>
  <si>
    <t xml:space="preserve">SPRINGFIELD                             </t>
  </si>
  <si>
    <t xml:space="preserve">BELLEVILLE                              </t>
  </si>
  <si>
    <t xml:space="preserve">BLACK EARTH                             </t>
  </si>
  <si>
    <t xml:space="preserve">BROOKLYN                                </t>
  </si>
  <si>
    <t xml:space="preserve">CAMBRIDGE                               </t>
  </si>
  <si>
    <t xml:space="preserve">COTTAGE GROVE                           </t>
  </si>
  <si>
    <t xml:space="preserve">CROSS PLAINS                            </t>
  </si>
  <si>
    <t xml:space="preserve">DEERFIELD                               </t>
  </si>
  <si>
    <t xml:space="preserve">DEFOREST                                </t>
  </si>
  <si>
    <t xml:space="preserve">MAPLE BLUFF                             </t>
  </si>
  <si>
    <t xml:space="preserve">MARSHALL                                </t>
  </si>
  <si>
    <t xml:space="preserve">MAZOMANIE                               </t>
  </si>
  <si>
    <t xml:space="preserve">MCFARLAND                               </t>
  </si>
  <si>
    <t xml:space="preserve">MOUNT HOREB                             </t>
  </si>
  <si>
    <t xml:space="preserve">OREGON                                  </t>
  </si>
  <si>
    <t xml:space="preserve">SHOREWOOD HILLS                         </t>
  </si>
  <si>
    <t xml:space="preserve">WAUNAKEE                                </t>
  </si>
  <si>
    <t xml:space="preserve">WINDSOR                                 </t>
  </si>
  <si>
    <t xml:space="preserve">FITCHBURG                               </t>
  </si>
  <si>
    <t xml:space="preserve">MADISON                                 </t>
  </si>
  <si>
    <t xml:space="preserve">MIDDLETON                               </t>
  </si>
  <si>
    <t xml:space="preserve">MONONA                                  </t>
  </si>
  <si>
    <t xml:space="preserve">STOUGHTON                               </t>
  </si>
  <si>
    <t xml:space="preserve">SUN PRAIRIE                             </t>
  </si>
  <si>
    <t xml:space="preserve">VERONA                                  </t>
  </si>
  <si>
    <t xml:space="preserve">DODGE                                   </t>
  </si>
  <si>
    <t xml:space="preserve">HUSTISFORD                              </t>
  </si>
  <si>
    <t xml:space="preserve">LOMIRA                                  </t>
  </si>
  <si>
    <t xml:space="preserve">REESEVILLE                              </t>
  </si>
  <si>
    <t xml:space="preserve">BEAVER DAM                              </t>
  </si>
  <si>
    <t xml:space="preserve">FOX LAKE                                </t>
  </si>
  <si>
    <t xml:space="preserve">HARTFORD                                </t>
  </si>
  <si>
    <t xml:space="preserve">HORICON                                 </t>
  </si>
  <si>
    <t xml:space="preserve">JUNEAU                                  </t>
  </si>
  <si>
    <t xml:space="preserve">MAYVILLE                                </t>
  </si>
  <si>
    <t xml:space="preserve">WAUPUN                                  </t>
  </si>
  <si>
    <t xml:space="preserve">DOOR                                    </t>
  </si>
  <si>
    <t xml:space="preserve">GIBRALTAR                               </t>
  </si>
  <si>
    <t xml:space="preserve">SISTER BAY                              </t>
  </si>
  <si>
    <t xml:space="preserve">STURGEON BAY                            </t>
  </si>
  <si>
    <t xml:space="preserve">DOUGLAS                                 </t>
  </si>
  <si>
    <t xml:space="preserve">SOLON SPRINGS                           </t>
  </si>
  <si>
    <t xml:space="preserve">SUPERIOR                                </t>
  </si>
  <si>
    <t xml:space="preserve">DUNN                                    </t>
  </si>
  <si>
    <t xml:space="preserve">BOYCEVILLE                              </t>
  </si>
  <si>
    <t xml:space="preserve">COLFAX                                  </t>
  </si>
  <si>
    <t xml:space="preserve">ELK MOUND                               </t>
  </si>
  <si>
    <t xml:space="preserve">KNAPP                                   </t>
  </si>
  <si>
    <t xml:space="preserve">RIDGELAND                               </t>
  </si>
  <si>
    <t xml:space="preserve">MENOMONIE                               </t>
  </si>
  <si>
    <t xml:space="preserve">FALL CREEK                              </t>
  </si>
  <si>
    <t xml:space="preserve">ALTOONA                                 </t>
  </si>
  <si>
    <t xml:space="preserve">AUGUSTA                                 </t>
  </si>
  <si>
    <t xml:space="preserve">FLORENCE                                </t>
  </si>
  <si>
    <t xml:space="preserve">FOND DU LAC                             </t>
  </si>
  <si>
    <t xml:space="preserve">CAMPBELLSPORT                           </t>
  </si>
  <si>
    <t xml:space="preserve">FAIRWATER                               </t>
  </si>
  <si>
    <t xml:space="preserve">NORTH FOND DU LAC                       </t>
  </si>
  <si>
    <t xml:space="preserve">OAKFIELD                                </t>
  </si>
  <si>
    <t xml:space="preserve">ROSENDALE                               </t>
  </si>
  <si>
    <t xml:space="preserve">RIPON                                   </t>
  </si>
  <si>
    <t xml:space="preserve">FOREST                                  </t>
  </si>
  <si>
    <t xml:space="preserve">CRANDON                                 </t>
  </si>
  <si>
    <t xml:space="preserve">GRANT                                   </t>
  </si>
  <si>
    <t xml:space="preserve">DICKEYVILLE                             </t>
  </si>
  <si>
    <t xml:space="preserve">MONTFORT                                </t>
  </si>
  <si>
    <t xml:space="preserve">MUSCODA                                 </t>
  </si>
  <si>
    <t xml:space="preserve">POTOSI                                  </t>
  </si>
  <si>
    <t xml:space="preserve">BOSCOBEL                                </t>
  </si>
  <si>
    <t xml:space="preserve">CUBA CITY                               </t>
  </si>
  <si>
    <t xml:space="preserve">FENNIMORE                               </t>
  </si>
  <si>
    <t xml:space="preserve">LANCASTER                               </t>
  </si>
  <si>
    <t xml:space="preserve">PLATTEVILLE                             </t>
  </si>
  <si>
    <t xml:space="preserve">GREEN                                   </t>
  </si>
  <si>
    <t xml:space="preserve">MONTICELLO                              </t>
  </si>
  <si>
    <t xml:space="preserve">NEW GLARUS                              </t>
  </si>
  <si>
    <t xml:space="preserve">BRODHEAD                                </t>
  </si>
  <si>
    <t xml:space="preserve">MONROE                                  </t>
  </si>
  <si>
    <t xml:space="preserve">GREEN LAKE                              </t>
  </si>
  <si>
    <t xml:space="preserve">BERLIN                                  </t>
  </si>
  <si>
    <t xml:space="preserve">PRINCETON                               </t>
  </si>
  <si>
    <t xml:space="preserve">IOWA                                    </t>
  </si>
  <si>
    <t xml:space="preserve">ARENA                                   </t>
  </si>
  <si>
    <t xml:space="preserve">BARNEVELD                               </t>
  </si>
  <si>
    <t xml:space="preserve">BLANCHARDVILLE                          </t>
  </si>
  <si>
    <t xml:space="preserve">RIDGEWAY                                </t>
  </si>
  <si>
    <t xml:space="preserve">DODGEVILLE                              </t>
  </si>
  <si>
    <t xml:space="preserve">MINERAL POINT                           </t>
  </si>
  <si>
    <t xml:space="preserve">JACKSON                                 </t>
  </si>
  <si>
    <t xml:space="preserve">HIXTON                                  </t>
  </si>
  <si>
    <t xml:space="preserve">MERRILLAN                               </t>
  </si>
  <si>
    <t xml:space="preserve">TAYLOR                                  </t>
  </si>
  <si>
    <t xml:space="preserve">BLACK RIVER FALLS                       </t>
  </si>
  <si>
    <t xml:space="preserve">JEFFERSON                               </t>
  </si>
  <si>
    <t xml:space="preserve">IXONIA                                  </t>
  </si>
  <si>
    <t xml:space="preserve">JOHNSON CREEK                           </t>
  </si>
  <si>
    <t xml:space="preserve">PALMYRA                                 </t>
  </si>
  <si>
    <t xml:space="preserve">FORT ATKINSON                           </t>
  </si>
  <si>
    <t xml:space="preserve">LAKE MILLS                              </t>
  </si>
  <si>
    <t xml:space="preserve">WATERLOO                                </t>
  </si>
  <si>
    <t xml:space="preserve">WATERTOWN                               </t>
  </si>
  <si>
    <t xml:space="preserve">WHITEWATER                              </t>
  </si>
  <si>
    <t xml:space="preserve">NECEDAH                                 </t>
  </si>
  <si>
    <t xml:space="preserve">ELROY                                   </t>
  </si>
  <si>
    <t xml:space="preserve">MAUSTON                                 </t>
  </si>
  <si>
    <t xml:space="preserve">NEW LISBON                              </t>
  </si>
  <si>
    <t xml:space="preserve">KENOSHA                                 </t>
  </si>
  <si>
    <t xml:space="preserve">BRISTOL                                 </t>
  </si>
  <si>
    <t xml:space="preserve">PADDOCK LAKE                            </t>
  </si>
  <si>
    <t xml:space="preserve">PLEASANT PRAIRIE                        </t>
  </si>
  <si>
    <t xml:space="preserve">SALEM LAKES                             </t>
  </si>
  <si>
    <t xml:space="preserve">SOMERS                                  </t>
  </si>
  <si>
    <t xml:space="preserve">TWIN LAKES                              </t>
  </si>
  <si>
    <t xml:space="preserve">KEWAUNEE                                </t>
  </si>
  <si>
    <t xml:space="preserve">LUXEMBURG                               </t>
  </si>
  <si>
    <t xml:space="preserve">ALGOMA                                  </t>
  </si>
  <si>
    <t xml:space="preserve">LA CROSSE                               </t>
  </si>
  <si>
    <t xml:space="preserve">BANGOR                                  </t>
  </si>
  <si>
    <t xml:space="preserve">HOLMEN                                  </t>
  </si>
  <si>
    <t xml:space="preserve">ROCKLAND                                </t>
  </si>
  <si>
    <t xml:space="preserve">WEST SALEM                              </t>
  </si>
  <si>
    <t xml:space="preserve">ONALASKA                                </t>
  </si>
  <si>
    <t xml:space="preserve">LAFAYETTE                               </t>
  </si>
  <si>
    <t xml:space="preserve">ARGYLE                                  </t>
  </si>
  <si>
    <t xml:space="preserve">BELMONT                                 </t>
  </si>
  <si>
    <t xml:space="preserve">GRATIOT                                 </t>
  </si>
  <si>
    <t xml:space="preserve">DARLINGTON                              </t>
  </si>
  <si>
    <t xml:space="preserve">SHULLSBURG                              </t>
  </si>
  <si>
    <t xml:space="preserve">LANGLADE                                </t>
  </si>
  <si>
    <t xml:space="preserve">WHITE LAKE                              </t>
  </si>
  <si>
    <t xml:space="preserve">ANTIGO                                  </t>
  </si>
  <si>
    <t xml:space="preserve">LINCOLN                                 </t>
  </si>
  <si>
    <t xml:space="preserve">MERRILL                                 </t>
  </si>
  <si>
    <t xml:space="preserve">TOMAHAWK                                </t>
  </si>
  <si>
    <t xml:space="preserve">MANITOWOC                               </t>
  </si>
  <si>
    <t xml:space="preserve">CLEVELAND                               </t>
  </si>
  <si>
    <t xml:space="preserve">MARIBEL                                 </t>
  </si>
  <si>
    <t xml:space="preserve">VALDERS                                 </t>
  </si>
  <si>
    <t xml:space="preserve">WHITELAW                                </t>
  </si>
  <si>
    <t xml:space="preserve">TWO RIVERS                              </t>
  </si>
  <si>
    <t xml:space="preserve">MARATHON                                </t>
  </si>
  <si>
    <t xml:space="preserve">ATHENS                                  </t>
  </si>
  <si>
    <t xml:space="preserve">EDGAR                                   </t>
  </si>
  <si>
    <t xml:space="preserve">HATLEY                                  </t>
  </si>
  <si>
    <t xml:space="preserve">KRONENWETTER                            </t>
  </si>
  <si>
    <t xml:space="preserve">MAINE                                   </t>
  </si>
  <si>
    <t xml:space="preserve">MARATHON CITY                           </t>
  </si>
  <si>
    <t xml:space="preserve">RIB MOUNTAIN                            </t>
  </si>
  <si>
    <t xml:space="preserve">ROTHSCHILD                              </t>
  </si>
  <si>
    <t xml:space="preserve">SPENCER                                 </t>
  </si>
  <si>
    <t xml:space="preserve">STRATFORD                               </t>
  </si>
  <si>
    <t xml:space="preserve">WESTON                                  </t>
  </si>
  <si>
    <t xml:space="preserve">MARSHFIELD                              </t>
  </si>
  <si>
    <t xml:space="preserve">MOSINEE                                 </t>
  </si>
  <si>
    <t xml:space="preserve">SCHOFIELD                               </t>
  </si>
  <si>
    <t xml:space="preserve">WAUSAU                                  </t>
  </si>
  <si>
    <t xml:space="preserve">MARINETTE                               </t>
  </si>
  <si>
    <t xml:space="preserve">COLEMAN                                 </t>
  </si>
  <si>
    <t xml:space="preserve">CRIVITZ                                 </t>
  </si>
  <si>
    <t xml:space="preserve">POUND                                   </t>
  </si>
  <si>
    <t xml:space="preserve">WAUSAUKEE                               </t>
  </si>
  <si>
    <t xml:space="preserve">NIAGARA                                 </t>
  </si>
  <si>
    <t xml:space="preserve">PESHTIGO                                </t>
  </si>
  <si>
    <t xml:space="preserve">MARQUETTE                               </t>
  </si>
  <si>
    <t xml:space="preserve">ENDEAVOR                                </t>
  </si>
  <si>
    <t xml:space="preserve">MILWAUKEE                               </t>
  </si>
  <si>
    <t xml:space="preserve">BAYSIDE                                 </t>
  </si>
  <si>
    <t xml:space="preserve">BROWN DEER                              </t>
  </si>
  <si>
    <t xml:space="preserve">GREENDALE                               </t>
  </si>
  <si>
    <t xml:space="preserve">HALES CORNERS                           </t>
  </si>
  <si>
    <t xml:space="preserve">RIVER HILLS                             </t>
  </si>
  <si>
    <t xml:space="preserve">SHOREWOOD                               </t>
  </si>
  <si>
    <t xml:space="preserve">WEST MILWAUKEE                          </t>
  </si>
  <si>
    <t xml:space="preserve">WHITEFISH BAY                           </t>
  </si>
  <si>
    <t xml:space="preserve">CUDAHY                                  </t>
  </si>
  <si>
    <t xml:space="preserve">FRANKLIN                                </t>
  </si>
  <si>
    <t xml:space="preserve">GLENDALE                                </t>
  </si>
  <si>
    <t xml:space="preserve">GREENFIELD                              </t>
  </si>
  <si>
    <t xml:space="preserve">OAK CREEK                               </t>
  </si>
  <si>
    <t xml:space="preserve">SAINT FRANCIS                           </t>
  </si>
  <si>
    <t xml:space="preserve">SOUTH MILWAUKEE                         </t>
  </si>
  <si>
    <t xml:space="preserve">WAUWATOSA                               </t>
  </si>
  <si>
    <t xml:space="preserve">WEST ALLIS                              </t>
  </si>
  <si>
    <t xml:space="preserve">CASHTON                                 </t>
  </si>
  <si>
    <t xml:space="preserve">WARRENS                                 </t>
  </si>
  <si>
    <t xml:space="preserve">WILTON                                  </t>
  </si>
  <si>
    <t xml:space="preserve">SPARTA                                  </t>
  </si>
  <si>
    <t xml:space="preserve">TOMAH                                   </t>
  </si>
  <si>
    <t xml:space="preserve">OCONTO                                  </t>
  </si>
  <si>
    <t xml:space="preserve">LENA                                    </t>
  </si>
  <si>
    <t xml:space="preserve">SURING                                  </t>
  </si>
  <si>
    <t xml:space="preserve">GILLETT                                 </t>
  </si>
  <si>
    <t xml:space="preserve">OCONTO FALLS                            </t>
  </si>
  <si>
    <t xml:space="preserve">ONEIDA                                  </t>
  </si>
  <si>
    <t xml:space="preserve">MINOCQUA                                </t>
  </si>
  <si>
    <t xml:space="preserve">RHINELANDER                             </t>
  </si>
  <si>
    <t xml:space="preserve">OUTAGAMIE                               </t>
  </si>
  <si>
    <t xml:space="preserve">FREEDOM                                 </t>
  </si>
  <si>
    <t xml:space="preserve">GRAND CHUTE                             </t>
  </si>
  <si>
    <t xml:space="preserve">BLACK CREEK                             </t>
  </si>
  <si>
    <t xml:space="preserve">COMBINED LOCKS                          </t>
  </si>
  <si>
    <t xml:space="preserve">GREENVILLE                              </t>
  </si>
  <si>
    <t xml:space="preserve">HORTONVILLE                             </t>
  </si>
  <si>
    <t xml:space="preserve">KIMBERLY                                </t>
  </si>
  <si>
    <t xml:space="preserve">LITTLE CHUTE                            </t>
  </si>
  <si>
    <t xml:space="preserve">KAUKAUNA                                </t>
  </si>
  <si>
    <t xml:space="preserve">NEW LONDON                              </t>
  </si>
  <si>
    <t xml:space="preserve">SEYMOUR                                 </t>
  </si>
  <si>
    <t xml:space="preserve">OZAUKEE                                 </t>
  </si>
  <si>
    <t xml:space="preserve">FREDONIA                                </t>
  </si>
  <si>
    <t xml:space="preserve">GRAFTON                                 </t>
  </si>
  <si>
    <t xml:space="preserve">SAUKVILLE                               </t>
  </si>
  <si>
    <t xml:space="preserve">THIENSVILLE                             </t>
  </si>
  <si>
    <t xml:space="preserve">CEDARBURG                               </t>
  </si>
  <si>
    <t xml:space="preserve">MEQUON                                  </t>
  </si>
  <si>
    <t xml:space="preserve">PORT WASHINGTON                         </t>
  </si>
  <si>
    <t xml:space="preserve">PEPIN                                   </t>
  </si>
  <si>
    <t xml:space="preserve">DURAND                                  </t>
  </si>
  <si>
    <t xml:space="preserve">PIERCE                                  </t>
  </si>
  <si>
    <t xml:space="preserve">ELLSWORTH                               </t>
  </si>
  <si>
    <t xml:space="preserve">ELMWOOD                                 </t>
  </si>
  <si>
    <t xml:space="preserve">SPRING VALLEY                           </t>
  </si>
  <si>
    <t xml:space="preserve">PRESCOTT                                </t>
  </si>
  <si>
    <t xml:space="preserve">RIVER FALLS                             </t>
  </si>
  <si>
    <t xml:space="preserve">POLK                                    </t>
  </si>
  <si>
    <t xml:space="preserve">BALSAM LAKE                             </t>
  </si>
  <si>
    <t xml:space="preserve">CENTURIA                                </t>
  </si>
  <si>
    <t xml:space="preserve">CLAYTON                                 </t>
  </si>
  <si>
    <t xml:space="preserve">CLEAR LAKE                              </t>
  </si>
  <si>
    <t xml:space="preserve">FREDERIC                                </t>
  </si>
  <si>
    <t xml:space="preserve">LUCK                                    </t>
  </si>
  <si>
    <t xml:space="preserve">MILLTOWN                                </t>
  </si>
  <si>
    <t xml:space="preserve">OSCEOLA                                 </t>
  </si>
  <si>
    <t xml:space="preserve">AMERY                                   </t>
  </si>
  <si>
    <t xml:space="preserve">SAINT CROIX FALLS                       </t>
  </si>
  <si>
    <t xml:space="preserve">AMHERST                                 </t>
  </si>
  <si>
    <t xml:space="preserve">JUNCTION CITY                           </t>
  </si>
  <si>
    <t xml:space="preserve">PLOVER                                  </t>
  </si>
  <si>
    <t xml:space="preserve">WHITING                                 </t>
  </si>
  <si>
    <t xml:space="preserve">STEVENS POINT                           </t>
  </si>
  <si>
    <t xml:space="preserve">PRICE                                   </t>
  </si>
  <si>
    <t xml:space="preserve">PRENTICE                                </t>
  </si>
  <si>
    <t xml:space="preserve">PARK FALLS                              </t>
  </si>
  <si>
    <t xml:space="preserve">PHILLIPS                                </t>
  </si>
  <si>
    <t xml:space="preserve">RACINE                                  </t>
  </si>
  <si>
    <t xml:space="preserve">CALEDONIA                               </t>
  </si>
  <si>
    <t xml:space="preserve">MOUNT PLEASANT                          </t>
  </si>
  <si>
    <t xml:space="preserve">STURTEVANT                              </t>
  </si>
  <si>
    <t xml:space="preserve">UNION GROVE                             </t>
  </si>
  <si>
    <t xml:space="preserve">WATERFORD                               </t>
  </si>
  <si>
    <t xml:space="preserve">YORKVILLE                               </t>
  </si>
  <si>
    <t xml:space="preserve">BURLINGTON                              </t>
  </si>
  <si>
    <t xml:space="preserve">RICHLAND                                </t>
  </si>
  <si>
    <t xml:space="preserve">LONE ROCK                               </t>
  </si>
  <si>
    <t xml:space="preserve">VIOLA                                   </t>
  </si>
  <si>
    <t xml:space="preserve">RICHLAND CENTER                         </t>
  </si>
  <si>
    <t xml:space="preserve">ROCK                                    </t>
  </si>
  <si>
    <t xml:space="preserve">ORFORDVILLE                             </t>
  </si>
  <si>
    <t xml:space="preserve">BELOIT                                  </t>
  </si>
  <si>
    <t xml:space="preserve">EDGERTON                                </t>
  </si>
  <si>
    <t xml:space="preserve">EVANSVILLE                              </t>
  </si>
  <si>
    <t xml:space="preserve">JANESVILLE                              </t>
  </si>
  <si>
    <t xml:space="preserve">MILTON                                  </t>
  </si>
  <si>
    <t xml:space="preserve">RUSK                                    </t>
  </si>
  <si>
    <t xml:space="preserve">BRUCE                                   </t>
  </si>
  <si>
    <t xml:space="preserve">HAWKINS                                 </t>
  </si>
  <si>
    <t xml:space="preserve">WEYERHAEUSER                            </t>
  </si>
  <si>
    <t xml:space="preserve">LADYSMITH                               </t>
  </si>
  <si>
    <t xml:space="preserve">ST CROIX                                </t>
  </si>
  <si>
    <t xml:space="preserve">BALDWIN                                 </t>
  </si>
  <si>
    <t xml:space="preserve">HAMMOND                                 </t>
  </si>
  <si>
    <t xml:space="preserve">ROBERTS                                 </t>
  </si>
  <si>
    <t xml:space="preserve">SOMERSET                                </t>
  </si>
  <si>
    <t xml:space="preserve">WOODVILLE                               </t>
  </si>
  <si>
    <t xml:space="preserve">GLENWOOD CITY                           </t>
  </si>
  <si>
    <t xml:space="preserve">HUDSON                                  </t>
  </si>
  <si>
    <t xml:space="preserve">NEW RICHMOND                            </t>
  </si>
  <si>
    <t xml:space="preserve">SAUK                                    </t>
  </si>
  <si>
    <t xml:space="preserve">LAKE DELTON                             </t>
  </si>
  <si>
    <t xml:space="preserve">LOGANVILLE                              </t>
  </si>
  <si>
    <t xml:space="preserve">NORTH FREEDOM                           </t>
  </si>
  <si>
    <t xml:space="preserve">PLAIN                                   </t>
  </si>
  <si>
    <t xml:space="preserve">PRAIRIE DU SAC                          </t>
  </si>
  <si>
    <t xml:space="preserve">ROCK SPRINGS                            </t>
  </si>
  <si>
    <t xml:space="preserve">SAUK CITY                               </t>
  </si>
  <si>
    <t xml:space="preserve">SPRING GREEN                            </t>
  </si>
  <si>
    <t xml:space="preserve">WEST BARABOO                            </t>
  </si>
  <si>
    <t xml:space="preserve">BARABOO                                 </t>
  </si>
  <si>
    <t xml:space="preserve">REEDSBURG                               </t>
  </si>
  <si>
    <t xml:space="preserve">SAWYER                                  </t>
  </si>
  <si>
    <t xml:space="preserve">HAYWARD                                 </t>
  </si>
  <si>
    <t xml:space="preserve">SHAWANO                                 </t>
  </si>
  <si>
    <t xml:space="preserve">BONDUEL                                 </t>
  </si>
  <si>
    <t xml:space="preserve">GRESHAM                                 </t>
  </si>
  <si>
    <t xml:space="preserve">MATTOON                                 </t>
  </si>
  <si>
    <t xml:space="preserve">TIGERTON                                </t>
  </si>
  <si>
    <t xml:space="preserve">WITTENBERG                              </t>
  </si>
  <si>
    <t xml:space="preserve">SHEBOYGAN                               </t>
  </si>
  <si>
    <t xml:space="preserve">CASCADE                                 </t>
  </si>
  <si>
    <t xml:space="preserve">CEDAR GROVE                             </t>
  </si>
  <si>
    <t xml:space="preserve">ELKHART LAKE                            </t>
  </si>
  <si>
    <t xml:space="preserve">GLENBEULAH                              </t>
  </si>
  <si>
    <t xml:space="preserve">OOSTBURG                                </t>
  </si>
  <si>
    <t xml:space="preserve">RANDOM LAKE                             </t>
  </si>
  <si>
    <t xml:space="preserve">PLYMOUTH                                </t>
  </si>
  <si>
    <t xml:space="preserve">SHEBOYGAN FALLS                         </t>
  </si>
  <si>
    <t xml:space="preserve">GILMAN                                  </t>
  </si>
  <si>
    <t xml:space="preserve">STETSONVILLE                            </t>
  </si>
  <si>
    <t xml:space="preserve">MEDFORD                                 </t>
  </si>
  <si>
    <t xml:space="preserve">TREMPEALEAU                             </t>
  </si>
  <si>
    <t xml:space="preserve">STRUM                                   </t>
  </si>
  <si>
    <t xml:space="preserve">ARCADIA                                 </t>
  </si>
  <si>
    <t xml:space="preserve">BLAIR                                   </t>
  </si>
  <si>
    <t xml:space="preserve">INDEPENDENCE                            </t>
  </si>
  <si>
    <t xml:space="preserve">OSSEO                                   </t>
  </si>
  <si>
    <t xml:space="preserve">WHITEHALL                               </t>
  </si>
  <si>
    <t xml:space="preserve">VERNON                                  </t>
  </si>
  <si>
    <t xml:space="preserve">LA FARGE                                </t>
  </si>
  <si>
    <t xml:space="preserve">ONTARIO                                 </t>
  </si>
  <si>
    <t xml:space="preserve">HILLSBORO                               </t>
  </si>
  <si>
    <t xml:space="preserve">VIROQUA                                 </t>
  </si>
  <si>
    <t xml:space="preserve">WESTBY                                  </t>
  </si>
  <si>
    <t xml:space="preserve">VILAS                                   </t>
  </si>
  <si>
    <t xml:space="preserve">EAGLE RIVER                             </t>
  </si>
  <si>
    <t xml:space="preserve">WALWORTH                                </t>
  </si>
  <si>
    <t xml:space="preserve">BLOOMFIELD                              </t>
  </si>
  <si>
    <t xml:space="preserve">DARIEN                                  </t>
  </si>
  <si>
    <t xml:space="preserve">EAST TROY                               </t>
  </si>
  <si>
    <t xml:space="preserve">FONTANA                                 </t>
  </si>
  <si>
    <t xml:space="preserve">MUKWONAGO                               </t>
  </si>
  <si>
    <t xml:space="preserve">SHARON                                  </t>
  </si>
  <si>
    <t xml:space="preserve">WILLIAMS BAY                            </t>
  </si>
  <si>
    <t xml:space="preserve">DELAVAN                                 </t>
  </si>
  <si>
    <t xml:space="preserve">ELKHORN                                 </t>
  </si>
  <si>
    <t xml:space="preserve">BIRCHWOOD                               </t>
  </si>
  <si>
    <t xml:space="preserve">MINONG                                  </t>
  </si>
  <si>
    <t xml:space="preserve">WASHINGTON                              </t>
  </si>
  <si>
    <t xml:space="preserve">GERMANTOWN                              </t>
  </si>
  <si>
    <t xml:space="preserve">KEWASKUM                                </t>
  </si>
  <si>
    <t xml:space="preserve">RICHFIELD                               </t>
  </si>
  <si>
    <t xml:space="preserve">SLINGER                                 </t>
  </si>
  <si>
    <t xml:space="preserve">WEST BEND                               </t>
  </si>
  <si>
    <t xml:space="preserve">WAUKESHA                                </t>
  </si>
  <si>
    <t xml:space="preserve">BROOKFIELD                              </t>
  </si>
  <si>
    <t xml:space="preserve">OCONOMOWOC                              </t>
  </si>
  <si>
    <t xml:space="preserve">BIG BEND                                </t>
  </si>
  <si>
    <t xml:space="preserve">DOUSMAN                                 </t>
  </si>
  <si>
    <t xml:space="preserve">ELM GROVE                               </t>
  </si>
  <si>
    <t xml:space="preserve">HARTLAND                                </t>
  </si>
  <si>
    <t xml:space="preserve">LANNON                                  </t>
  </si>
  <si>
    <t xml:space="preserve">LISBON                                  </t>
  </si>
  <si>
    <t xml:space="preserve">MENOMONEE FALLS                         </t>
  </si>
  <si>
    <t xml:space="preserve">PEWAUKEE                                </t>
  </si>
  <si>
    <t xml:space="preserve">SUSSEX                                  </t>
  </si>
  <si>
    <t xml:space="preserve">WALES                                   </t>
  </si>
  <si>
    <t xml:space="preserve">MUSKEGO                                 </t>
  </si>
  <si>
    <t xml:space="preserve">NEW BERLIN                              </t>
  </si>
  <si>
    <t xml:space="preserve">WAUPACA                                 </t>
  </si>
  <si>
    <t xml:space="preserve">FREMONT                                 </t>
  </si>
  <si>
    <t xml:space="preserve">CLINTONVILLE                            </t>
  </si>
  <si>
    <t xml:space="preserve">MANAWA                                  </t>
  </si>
  <si>
    <t xml:space="preserve">WEYAUWEGA                               </t>
  </si>
  <si>
    <t xml:space="preserve">WAUSHARA                                </t>
  </si>
  <si>
    <t xml:space="preserve">COLOMA                                  </t>
  </si>
  <si>
    <t xml:space="preserve">HANCOCK                                 </t>
  </si>
  <si>
    <t xml:space="preserve">PLAINFIELD                              </t>
  </si>
  <si>
    <t xml:space="preserve">REDGRANITE                              </t>
  </si>
  <si>
    <t xml:space="preserve">WINNEBAGO                               </t>
  </si>
  <si>
    <t xml:space="preserve">FOX CROSSING                            </t>
  </si>
  <si>
    <t xml:space="preserve">WINNECONNE                              </t>
  </si>
  <si>
    <t xml:space="preserve">NEENAH                                  </t>
  </si>
  <si>
    <t xml:space="preserve">OMRO                                    </t>
  </si>
  <si>
    <t xml:space="preserve">OSHKOSH                                 </t>
  </si>
  <si>
    <t xml:space="preserve">WOOD                                    </t>
  </si>
  <si>
    <t xml:space="preserve">AUBURNDALE                              </t>
  </si>
  <si>
    <t xml:space="preserve">BIRON                                   </t>
  </si>
  <si>
    <t xml:space="preserve">PORT EDWARDS                            </t>
  </si>
  <si>
    <t xml:space="preserve">VESPER                                  </t>
  </si>
  <si>
    <t xml:space="preserve">NEKOOSA                                 </t>
  </si>
  <si>
    <t xml:space="preserve">WISCONSIN RAPIDS                        </t>
  </si>
  <si>
    <t>TID</t>
  </si>
  <si>
    <t>CoMun</t>
  </si>
  <si>
    <t>Municipality</t>
  </si>
  <si>
    <t>TVC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</si>
</sst>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/>
    <xf numFmtId="0" fontId="19" fillId="0" borderId="10" xfId="0" applyFont="1" applyBorder="1"/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wrapText="1"/>
    </xf>
    <xf numFmtId="37" fontId="19" fillId="0" borderId="10" xfId="0" applyNumberFormat="1" applyFont="1" applyBorder="1" applyAlignment="1">
      <alignment horizontal="right"/>
    </xf>
    <xf numFmtId="0" fontId="18" fillId="0" borderId="0" xfId="0" applyFont="1" applyAlignment="1">
      <alignment horizontal="center"/>
    </xf>
    <xf numFmtId="3" fontId="18" fillId="0" borderId="0" xfId="1" applyNumberFormat="1" applyFont="1"/>
    <xf numFmtId="3" fontId="18" fillId="0" borderId="0" xfId="1" applyNumberFormat="1" applyFont="1" applyFill="1"/>
    <xf numFmtId="3" fontId="20" fillId="0" borderId="0" xfId="1" applyNumberFormat="1" applyFont="1" applyFill="1"/>
    <xf numFmtId="3" fontId="21" fillId="0" borderId="0" xfId="0" applyNumberFormat="1" applyFont="1"/>
    <xf numFmtId="3" fontId="18" fillId="0" borderId="0" xfId="0" applyNumberFormat="1" applyFont="1"/>
    <xf numFmtId="0" fontId="20" fillId="0" borderId="0" xfId="0" applyFont="1"/>
    <xf numFmtId="0" fontId="20" fillId="0" borderId="0" xfId="0" applyFont="1" applyAlignment="1">
      <alignment horizontal="center"/>
    </xf>
    <xf numFmtId="0" fontId="21" fillId="0" borderId="0" xfId="0" applyFont="1"/>
    <xf numFmtId="3" fontId="2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D86FE-3CFC-40F9-8660-A31367826209}">
  <sheetPr>
    <pageSetUpPr fitToPage="1"/>
  </sheetPr>
  <dimension ref="A1:Q1446"/>
  <sheetViews>
    <sheetView tabSelected="1" workbookViewId="0">
      <pane ySplit="1" topLeftCell="A2" activePane="bottomLeft" state="frozen"/>
      <selection pane="bottomLeft" activeCell="D27" sqref="D27"/>
    </sheetView>
  </sheetViews>
  <sheetFormatPr baseColWidth="10" defaultColWidth="9.1640625" defaultRowHeight="15" x14ac:dyDescent="0.2"/>
  <cols>
    <col min="1" max="1" width="14.6640625" style="1" customWidth="1"/>
    <col min="2" max="2" width="9.6640625" style="6" customWidth="1"/>
    <col min="3" max="3" width="12.6640625" style="1" customWidth="1"/>
    <col min="4" max="4" width="20.6640625" style="1" customWidth="1"/>
    <col min="5" max="5" width="5.6640625" style="6" customWidth="1"/>
    <col min="6" max="6" width="6.6640625" style="6" customWidth="1"/>
    <col min="7" max="9" width="14.6640625" style="1" customWidth="1"/>
    <col min="10" max="10" width="18.5" style="1" customWidth="1"/>
    <col min="11" max="11" width="24" style="1" customWidth="1"/>
    <col min="12" max="12" width="10.33203125" style="1" customWidth="1"/>
    <col min="13" max="13" width="25.5" style="1" customWidth="1"/>
    <col min="14" max="14" width="10.1640625" style="1" bestFit="1" customWidth="1"/>
    <col min="15" max="15" width="14.5" style="1" customWidth="1"/>
    <col min="16" max="16384" width="9.1640625" style="1"/>
  </cols>
  <sheetData>
    <row r="1" spans="1:9" ht="32" x14ac:dyDescent="0.2">
      <c r="A1" s="2" t="s">
        <v>0</v>
      </c>
      <c r="B1" s="3" t="s">
        <v>465</v>
      </c>
      <c r="C1" s="2" t="s">
        <v>467</v>
      </c>
      <c r="D1" s="2" t="s">
        <v>466</v>
      </c>
      <c r="E1" s="3" t="s">
        <v>464</v>
      </c>
      <c r="F1" s="4" t="s">
        <v>1</v>
      </c>
      <c r="G1" s="5" t="s">
        <v>2</v>
      </c>
      <c r="H1" s="5" t="s">
        <v>3</v>
      </c>
      <c r="I1" s="5" t="s">
        <v>4</v>
      </c>
    </row>
    <row r="2" spans="1:9" x14ac:dyDescent="0.2">
      <c r="A2" s="1" t="s">
        <v>5</v>
      </c>
      <c r="B2" s="6" t="str">
        <f>"01030"</f>
        <v>01030</v>
      </c>
      <c r="C2" s="1" t="s">
        <v>6</v>
      </c>
      <c r="D2" s="1" t="s">
        <v>7</v>
      </c>
      <c r="E2" s="6" t="str">
        <f>"001T"</f>
        <v>001T</v>
      </c>
      <c r="F2" s="6">
        <v>2015</v>
      </c>
      <c r="G2" s="7">
        <v>163622200</v>
      </c>
      <c r="H2" s="7">
        <v>1249400</v>
      </c>
      <c r="I2" s="7">
        <v>162372800</v>
      </c>
    </row>
    <row r="3" spans="1:9" x14ac:dyDescent="0.2">
      <c r="A3" s="1" t="s">
        <v>5</v>
      </c>
      <c r="B3" s="6" t="str">
        <f>"01291"</f>
        <v>01291</v>
      </c>
      <c r="C3" s="1" t="s">
        <v>8</v>
      </c>
      <c r="D3" s="1" t="s">
        <v>9</v>
      </c>
      <c r="E3" s="6" t="str">
        <f>"003"</f>
        <v>003</v>
      </c>
      <c r="F3" s="6">
        <v>2005</v>
      </c>
      <c r="G3" s="7">
        <v>72515000</v>
      </c>
      <c r="H3" s="7">
        <v>2038600</v>
      </c>
      <c r="I3" s="7">
        <v>70476400</v>
      </c>
    </row>
    <row r="4" spans="1:9" x14ac:dyDescent="0.2">
      <c r="A4" s="1" t="s">
        <v>10</v>
      </c>
      <c r="B4" s="6" t="str">
        <f>"02201"</f>
        <v>02201</v>
      </c>
      <c r="C4" s="1" t="s">
        <v>8</v>
      </c>
      <c r="D4" s="1" t="s">
        <v>10</v>
      </c>
      <c r="E4" s="6" t="str">
        <f>"010"</f>
        <v>010</v>
      </c>
      <c r="F4" s="6">
        <v>2017</v>
      </c>
      <c r="G4" s="7">
        <v>13564100</v>
      </c>
      <c r="H4" s="7">
        <v>3937900</v>
      </c>
      <c r="I4" s="7">
        <v>9626200</v>
      </c>
    </row>
    <row r="5" spans="1:9" x14ac:dyDescent="0.2">
      <c r="A5" s="1" t="s">
        <v>11</v>
      </c>
      <c r="B5" s="6" t="str">
        <f>"03111"</f>
        <v>03111</v>
      </c>
      <c r="C5" s="1" t="s">
        <v>12</v>
      </c>
      <c r="D5" s="1" t="s">
        <v>13</v>
      </c>
      <c r="E5" s="6" t="str">
        <f>"001"</f>
        <v>001</v>
      </c>
      <c r="F5" s="6">
        <v>2005</v>
      </c>
      <c r="G5" s="7">
        <v>24328400</v>
      </c>
      <c r="H5" s="7">
        <v>2317500</v>
      </c>
      <c r="I5" s="7">
        <v>22010900</v>
      </c>
    </row>
    <row r="6" spans="1:9" x14ac:dyDescent="0.2">
      <c r="A6" s="1" t="s">
        <v>11</v>
      </c>
      <c r="B6" s="6" t="str">
        <f>"03116"</f>
        <v>03116</v>
      </c>
      <c r="C6" s="1" t="s">
        <v>12</v>
      </c>
      <c r="D6" s="1" t="s">
        <v>14</v>
      </c>
      <c r="E6" s="6" t="str">
        <f>"002"</f>
        <v>002</v>
      </c>
      <c r="F6" s="6">
        <v>2001</v>
      </c>
      <c r="G6" s="7">
        <v>2286400</v>
      </c>
      <c r="H6" s="7">
        <v>29900</v>
      </c>
      <c r="I6" s="7">
        <v>2256500</v>
      </c>
    </row>
    <row r="7" spans="1:9" x14ac:dyDescent="0.2">
      <c r="A7" s="1" t="s">
        <v>11</v>
      </c>
      <c r="B7" s="6" t="str">
        <f>"03186"</f>
        <v>03186</v>
      </c>
      <c r="C7" s="1" t="s">
        <v>12</v>
      </c>
      <c r="D7" s="1" t="s">
        <v>15</v>
      </c>
      <c r="E7" s="6" t="str">
        <f>"003"</f>
        <v>003</v>
      </c>
      <c r="F7" s="6">
        <v>2009</v>
      </c>
      <c r="G7" s="7">
        <v>151200</v>
      </c>
      <c r="H7" s="7">
        <v>102700</v>
      </c>
      <c r="I7" s="7">
        <v>48500</v>
      </c>
    </row>
    <row r="8" spans="1:9" x14ac:dyDescent="0.2">
      <c r="A8" s="1" t="s">
        <v>11</v>
      </c>
      <c r="B8" s="6" t="str">
        <f>"03206"</f>
        <v>03206</v>
      </c>
      <c r="C8" s="1" t="s">
        <v>8</v>
      </c>
      <c r="D8" s="1" t="s">
        <v>11</v>
      </c>
      <c r="E8" s="6" t="str">
        <f>"004"</f>
        <v>004</v>
      </c>
      <c r="F8" s="6">
        <v>2007</v>
      </c>
      <c r="G8" s="7">
        <v>18407900</v>
      </c>
      <c r="H8" s="7">
        <v>11215000</v>
      </c>
      <c r="I8" s="7">
        <v>7192900</v>
      </c>
    </row>
    <row r="9" spans="1:9" x14ac:dyDescent="0.2">
      <c r="A9" s="1" t="s">
        <v>11</v>
      </c>
      <c r="B9" s="6" t="str">
        <f>"03206"</f>
        <v>03206</v>
      </c>
      <c r="C9" s="1" t="s">
        <v>8</v>
      </c>
      <c r="D9" s="1" t="s">
        <v>11</v>
      </c>
      <c r="E9" s="6" t="str">
        <f>"005"</f>
        <v>005</v>
      </c>
      <c r="F9" s="6">
        <v>2010</v>
      </c>
      <c r="G9" s="7">
        <v>7447900</v>
      </c>
      <c r="H9" s="7">
        <v>5430700</v>
      </c>
      <c r="I9" s="7">
        <v>2017200</v>
      </c>
    </row>
    <row r="10" spans="1:9" x14ac:dyDescent="0.2">
      <c r="A10" s="1" t="s">
        <v>11</v>
      </c>
      <c r="B10" s="6" t="str">
        <f>"03206"</f>
        <v>03206</v>
      </c>
      <c r="C10" s="1" t="s">
        <v>8</v>
      </c>
      <c r="D10" s="1" t="s">
        <v>11</v>
      </c>
      <c r="E10" s="6" t="str">
        <f>"006"</f>
        <v>006</v>
      </c>
      <c r="F10" s="6">
        <v>2015</v>
      </c>
      <c r="G10" s="7">
        <v>12043800</v>
      </c>
      <c r="H10" s="7">
        <v>4451400</v>
      </c>
      <c r="I10" s="7">
        <v>7592400</v>
      </c>
    </row>
    <row r="11" spans="1:9" x14ac:dyDescent="0.2">
      <c r="A11" s="1" t="s">
        <v>11</v>
      </c>
      <c r="B11" s="6" t="str">
        <f>"03206"</f>
        <v>03206</v>
      </c>
      <c r="C11" s="1" t="s">
        <v>8</v>
      </c>
      <c r="D11" s="1" t="s">
        <v>11</v>
      </c>
      <c r="E11" s="6" t="str">
        <f>"007"</f>
        <v>007</v>
      </c>
      <c r="F11" s="6">
        <v>2022</v>
      </c>
      <c r="G11" s="7">
        <v>8773100</v>
      </c>
      <c r="H11" s="7">
        <v>3703100</v>
      </c>
      <c r="I11" s="7">
        <v>5070000</v>
      </c>
    </row>
    <row r="12" spans="1:9" x14ac:dyDescent="0.2">
      <c r="A12" s="1" t="s">
        <v>11</v>
      </c>
      <c r="B12" s="6" t="str">
        <f>"03206"</f>
        <v>03206</v>
      </c>
      <c r="C12" s="1" t="s">
        <v>8</v>
      </c>
      <c r="D12" s="1" t="s">
        <v>11</v>
      </c>
      <c r="E12" s="6" t="str">
        <f>"008"</f>
        <v>008</v>
      </c>
      <c r="F12" s="6">
        <v>2023</v>
      </c>
      <c r="G12" s="7">
        <v>12813300</v>
      </c>
      <c r="H12" s="7">
        <v>5886600</v>
      </c>
      <c r="I12" s="7">
        <v>6926700</v>
      </c>
    </row>
    <row r="13" spans="1:9" x14ac:dyDescent="0.2">
      <c r="A13" s="1" t="s">
        <v>11</v>
      </c>
      <c r="B13" s="6" t="str">
        <f>"03211"</f>
        <v>03211</v>
      </c>
      <c r="C13" s="1" t="s">
        <v>8</v>
      </c>
      <c r="D13" s="1" t="s">
        <v>16</v>
      </c>
      <c r="E13" s="6" t="str">
        <f>"004"</f>
        <v>004</v>
      </c>
      <c r="F13" s="6">
        <v>2020</v>
      </c>
      <c r="G13" s="7">
        <v>8543900</v>
      </c>
      <c r="H13" s="7">
        <v>3677800</v>
      </c>
      <c r="I13" s="7">
        <v>4866100</v>
      </c>
    </row>
    <row r="14" spans="1:9" x14ac:dyDescent="0.2">
      <c r="A14" s="1" t="s">
        <v>11</v>
      </c>
      <c r="B14" s="6" t="str">
        <f>"03212"</f>
        <v>03212</v>
      </c>
      <c r="C14" s="1" t="s">
        <v>8</v>
      </c>
      <c r="D14" s="1" t="s">
        <v>17</v>
      </c>
      <c r="E14" s="6" t="str">
        <f>"008"</f>
        <v>008</v>
      </c>
      <c r="F14" s="6">
        <v>2017</v>
      </c>
      <c r="G14" s="7">
        <v>3708200</v>
      </c>
      <c r="H14" s="7">
        <v>477500</v>
      </c>
      <c r="I14" s="7">
        <v>3230700</v>
      </c>
    </row>
    <row r="15" spans="1:9" x14ac:dyDescent="0.2">
      <c r="A15" s="1" t="s">
        <v>11</v>
      </c>
      <c r="B15" s="6" t="str">
        <f>"03212"</f>
        <v>03212</v>
      </c>
      <c r="C15" s="1" t="s">
        <v>8</v>
      </c>
      <c r="D15" s="1" t="s">
        <v>17</v>
      </c>
      <c r="E15" s="6" t="str">
        <f>"009"</f>
        <v>009</v>
      </c>
      <c r="F15" s="6">
        <v>2018</v>
      </c>
      <c r="G15" s="7">
        <v>42110800</v>
      </c>
      <c r="H15" s="7">
        <v>6993300</v>
      </c>
      <c r="I15" s="7">
        <v>35117500</v>
      </c>
    </row>
    <row r="16" spans="1:9" x14ac:dyDescent="0.2">
      <c r="A16" s="1" t="s">
        <v>11</v>
      </c>
      <c r="B16" s="6" t="str">
        <f>"03276"</f>
        <v>03276</v>
      </c>
      <c r="C16" s="1" t="s">
        <v>8</v>
      </c>
      <c r="D16" s="1" t="s">
        <v>18</v>
      </c>
      <c r="E16" s="6" t="str">
        <f>"004"</f>
        <v>004</v>
      </c>
      <c r="F16" s="6">
        <v>2007</v>
      </c>
      <c r="G16" s="7">
        <v>71791800</v>
      </c>
      <c r="H16" s="7">
        <v>3937100</v>
      </c>
      <c r="I16" s="7">
        <v>67854700</v>
      </c>
    </row>
    <row r="17" spans="1:9" x14ac:dyDescent="0.2">
      <c r="A17" s="1" t="s">
        <v>11</v>
      </c>
      <c r="B17" s="6" t="str">
        <f>"03276"</f>
        <v>03276</v>
      </c>
      <c r="C17" s="1" t="s">
        <v>8</v>
      </c>
      <c r="D17" s="1" t="s">
        <v>18</v>
      </c>
      <c r="E17" s="6" t="str">
        <f>"005"</f>
        <v>005</v>
      </c>
      <c r="F17" s="6">
        <v>2019</v>
      </c>
      <c r="G17" s="7">
        <v>73918500</v>
      </c>
      <c r="H17" s="7">
        <v>45270800</v>
      </c>
      <c r="I17" s="7">
        <v>28647700</v>
      </c>
    </row>
    <row r="18" spans="1:9" x14ac:dyDescent="0.2">
      <c r="A18" s="1" t="s">
        <v>11</v>
      </c>
      <c r="B18" s="6" t="str">
        <f>"03276"</f>
        <v>03276</v>
      </c>
      <c r="C18" s="1" t="s">
        <v>8</v>
      </c>
      <c r="D18" s="1" t="s">
        <v>18</v>
      </c>
      <c r="E18" s="6" t="str">
        <f>"006"</f>
        <v>006</v>
      </c>
      <c r="F18" s="6">
        <v>2021</v>
      </c>
      <c r="G18" s="7">
        <v>34225400</v>
      </c>
      <c r="H18" s="7">
        <v>11880000</v>
      </c>
      <c r="I18" s="7">
        <v>22345400</v>
      </c>
    </row>
    <row r="19" spans="1:9" x14ac:dyDescent="0.2">
      <c r="A19" s="1" t="s">
        <v>11</v>
      </c>
      <c r="B19" s="6" t="str">
        <f>"03276"</f>
        <v>03276</v>
      </c>
      <c r="C19" s="1" t="s">
        <v>8</v>
      </c>
      <c r="D19" s="1" t="s">
        <v>18</v>
      </c>
      <c r="E19" s="6" t="str">
        <f>"007"</f>
        <v>007</v>
      </c>
      <c r="F19" s="6">
        <v>2023</v>
      </c>
      <c r="G19" s="7">
        <v>30048600</v>
      </c>
      <c r="H19" s="7">
        <v>24415400</v>
      </c>
      <c r="I19" s="7">
        <v>5633200</v>
      </c>
    </row>
    <row r="20" spans="1:9" x14ac:dyDescent="0.2">
      <c r="A20" s="1" t="s">
        <v>19</v>
      </c>
      <c r="B20" s="6" t="str">
        <f>"04151"</f>
        <v>04151</v>
      </c>
      <c r="C20" s="1" t="s">
        <v>12</v>
      </c>
      <c r="D20" s="1" t="s">
        <v>20</v>
      </c>
      <c r="E20" s="6" t="str">
        <f>"001"</f>
        <v>001</v>
      </c>
      <c r="F20" s="6">
        <v>1999</v>
      </c>
      <c r="G20" s="7">
        <v>1904100</v>
      </c>
      <c r="H20" s="7">
        <v>159000</v>
      </c>
      <c r="I20" s="7">
        <v>1745100</v>
      </c>
    </row>
    <row r="21" spans="1:9" x14ac:dyDescent="0.2">
      <c r="A21" s="1" t="s">
        <v>19</v>
      </c>
      <c r="B21" s="6" t="str">
        <f>"04291"</f>
        <v>04291</v>
      </c>
      <c r="C21" s="1" t="s">
        <v>8</v>
      </c>
      <c r="D21" s="1" t="s">
        <v>21</v>
      </c>
      <c r="E21" s="6" t="str">
        <f>"003"</f>
        <v>003</v>
      </c>
      <c r="F21" s="6">
        <v>2015</v>
      </c>
      <c r="G21" s="7">
        <v>20305600</v>
      </c>
      <c r="H21" s="7">
        <v>9360400</v>
      </c>
      <c r="I21" s="7">
        <v>10945200</v>
      </c>
    </row>
    <row r="22" spans="1:9" x14ac:dyDescent="0.2">
      <c r="A22" s="1" t="s">
        <v>22</v>
      </c>
      <c r="B22" s="6" t="str">
        <f>"05024"</f>
        <v>05024</v>
      </c>
      <c r="C22" s="1" t="s">
        <v>6</v>
      </c>
      <c r="D22" s="1" t="s">
        <v>23</v>
      </c>
      <c r="E22" s="6" t="str">
        <f>"001A"</f>
        <v>001A</v>
      </c>
      <c r="F22" s="6">
        <v>2018</v>
      </c>
      <c r="G22" s="7">
        <v>83216200</v>
      </c>
      <c r="H22" s="7">
        <v>212900</v>
      </c>
      <c r="I22" s="7">
        <v>83003300</v>
      </c>
    </row>
    <row r="23" spans="1:9" x14ac:dyDescent="0.2">
      <c r="A23" s="1" t="s">
        <v>22</v>
      </c>
      <c r="B23" s="6" t="str">
        <f>"05024"</f>
        <v>05024</v>
      </c>
      <c r="C23" s="1" t="s">
        <v>6</v>
      </c>
      <c r="D23" s="1" t="s">
        <v>23</v>
      </c>
      <c r="E23" s="6" t="str">
        <f>"002A"</f>
        <v>002A</v>
      </c>
      <c r="F23" s="6">
        <v>2018</v>
      </c>
      <c r="G23" s="7">
        <v>58378600</v>
      </c>
      <c r="H23" s="7">
        <v>1218900</v>
      </c>
      <c r="I23" s="7">
        <v>57159700</v>
      </c>
    </row>
    <row r="24" spans="1:9" x14ac:dyDescent="0.2">
      <c r="A24" s="1" t="s">
        <v>22</v>
      </c>
      <c r="B24" s="6" t="str">
        <f>"05024"</f>
        <v>05024</v>
      </c>
      <c r="C24" s="1" t="s">
        <v>6</v>
      </c>
      <c r="D24" s="1" t="s">
        <v>23</v>
      </c>
      <c r="E24" s="6" t="str">
        <f>"003A"</f>
        <v>003A</v>
      </c>
      <c r="F24" s="6">
        <v>2023</v>
      </c>
      <c r="G24" s="7">
        <v>17471700</v>
      </c>
      <c r="H24" s="7">
        <v>2650100</v>
      </c>
      <c r="I24" s="7">
        <v>14821600</v>
      </c>
    </row>
    <row r="25" spans="1:9" x14ac:dyDescent="0.2">
      <c r="A25" s="1" t="s">
        <v>22</v>
      </c>
      <c r="B25" s="6" t="str">
        <f>"05025"</f>
        <v>05025</v>
      </c>
      <c r="C25" s="1" t="s">
        <v>6</v>
      </c>
      <c r="D25" s="1" t="s">
        <v>24</v>
      </c>
      <c r="E25" s="6" t="str">
        <f>"001A"</f>
        <v>001A</v>
      </c>
      <c r="F25" s="6">
        <v>2015</v>
      </c>
      <c r="G25" s="7">
        <v>138036100</v>
      </c>
      <c r="H25" s="7">
        <v>40270200</v>
      </c>
      <c r="I25" s="7">
        <v>97765900</v>
      </c>
    </row>
    <row r="26" spans="1:9" x14ac:dyDescent="0.2">
      <c r="A26" s="1" t="s">
        <v>22</v>
      </c>
      <c r="B26" s="6" t="str">
        <f>"05025"</f>
        <v>05025</v>
      </c>
      <c r="C26" s="1" t="s">
        <v>6</v>
      </c>
      <c r="D26" s="1" t="s">
        <v>24</v>
      </c>
      <c r="E26" s="6" t="str">
        <f>"002T"</f>
        <v>002T</v>
      </c>
      <c r="F26" s="6">
        <v>2019</v>
      </c>
      <c r="G26" s="7">
        <v>26350700</v>
      </c>
      <c r="H26" s="7">
        <v>440000</v>
      </c>
      <c r="I26" s="7">
        <v>25910700</v>
      </c>
    </row>
    <row r="27" spans="1:9" x14ac:dyDescent="0.2">
      <c r="A27" s="1" t="s">
        <v>22</v>
      </c>
      <c r="B27" s="6" t="str">
        <f>"05025"</f>
        <v>05025</v>
      </c>
      <c r="C27" s="1" t="s">
        <v>6</v>
      </c>
      <c r="D27" s="1" t="s">
        <v>24</v>
      </c>
      <c r="E27" s="6" t="str">
        <f>"003A"</f>
        <v>003A</v>
      </c>
      <c r="F27" s="6">
        <v>2023</v>
      </c>
      <c r="G27" s="7">
        <v>62957800</v>
      </c>
      <c r="H27" s="7">
        <v>50270600</v>
      </c>
      <c r="I27" s="7">
        <v>12687200</v>
      </c>
    </row>
    <row r="28" spans="1:9" x14ac:dyDescent="0.2">
      <c r="A28" s="1" t="s">
        <v>22</v>
      </c>
      <c r="B28" s="6" t="str">
        <f>"05102"</f>
        <v>05102</v>
      </c>
      <c r="C28" s="1" t="s">
        <v>12</v>
      </c>
      <c r="D28" s="1" t="s">
        <v>25</v>
      </c>
      <c r="E28" s="6" t="str">
        <f>"001"</f>
        <v>001</v>
      </c>
      <c r="F28" s="6">
        <v>2012</v>
      </c>
      <c r="G28" s="7">
        <v>165784500</v>
      </c>
      <c r="H28" s="7">
        <v>77734600</v>
      </c>
      <c r="I28" s="7">
        <v>88049900</v>
      </c>
    </row>
    <row r="29" spans="1:9" x14ac:dyDescent="0.2">
      <c r="A29" s="1" t="s">
        <v>22</v>
      </c>
      <c r="B29" s="6" t="str">
        <f>"05104"</f>
        <v>05104</v>
      </c>
      <c r="C29" s="1" t="s">
        <v>12</v>
      </c>
      <c r="D29" s="1" t="s">
        <v>26</v>
      </c>
      <c r="E29" s="6" t="str">
        <f>"003"</f>
        <v>003</v>
      </c>
      <c r="F29" s="6">
        <v>2008</v>
      </c>
      <c r="G29" s="7">
        <v>859572000</v>
      </c>
      <c r="H29" s="7">
        <v>322615000</v>
      </c>
      <c r="I29" s="7">
        <v>536957000</v>
      </c>
    </row>
    <row r="30" spans="1:9" x14ac:dyDescent="0.2">
      <c r="A30" s="1" t="s">
        <v>22</v>
      </c>
      <c r="B30" s="6" t="str">
        <f>"05104"</f>
        <v>05104</v>
      </c>
      <c r="C30" s="1" t="s">
        <v>12</v>
      </c>
      <c r="D30" s="1" t="s">
        <v>26</v>
      </c>
      <c r="E30" s="6" t="str">
        <f>"005"</f>
        <v>005</v>
      </c>
      <c r="F30" s="6">
        <v>2014</v>
      </c>
      <c r="G30" s="7">
        <v>355489800</v>
      </c>
      <c r="H30" s="7">
        <v>81695900</v>
      </c>
      <c r="I30" s="7">
        <v>273793900</v>
      </c>
    </row>
    <row r="31" spans="1:9" x14ac:dyDescent="0.2">
      <c r="A31" s="1" t="s">
        <v>22</v>
      </c>
      <c r="B31" s="6" t="str">
        <f>"05106"</f>
        <v>05106</v>
      </c>
      <c r="C31" s="1" t="s">
        <v>12</v>
      </c>
      <c r="D31" s="1" t="s">
        <v>27</v>
      </c>
      <c r="E31" s="6" t="str">
        <f>"001"</f>
        <v>001</v>
      </c>
      <c r="F31" s="6">
        <v>2013</v>
      </c>
      <c r="G31" s="7">
        <v>80684200</v>
      </c>
      <c r="H31" s="7">
        <v>6262800</v>
      </c>
      <c r="I31" s="7">
        <v>74421400</v>
      </c>
    </row>
    <row r="32" spans="1:9" x14ac:dyDescent="0.2">
      <c r="A32" s="1" t="s">
        <v>22</v>
      </c>
      <c r="B32" s="6" t="str">
        <f>"05106"</f>
        <v>05106</v>
      </c>
      <c r="C32" s="1" t="s">
        <v>12</v>
      </c>
      <c r="D32" s="1" t="s">
        <v>27</v>
      </c>
      <c r="E32" s="6" t="str">
        <f>"002"</f>
        <v>002</v>
      </c>
      <c r="F32" s="6">
        <v>2016</v>
      </c>
      <c r="G32" s="7">
        <v>100699000</v>
      </c>
      <c r="H32" s="7">
        <v>3022100</v>
      </c>
      <c r="I32" s="7">
        <v>97676900</v>
      </c>
    </row>
    <row r="33" spans="1:9" x14ac:dyDescent="0.2">
      <c r="A33" s="1" t="s">
        <v>22</v>
      </c>
      <c r="B33" s="6" t="str">
        <f>"05116"</f>
        <v>05116</v>
      </c>
      <c r="C33" s="1" t="s">
        <v>12</v>
      </c>
      <c r="D33" s="1" t="s">
        <v>28</v>
      </c>
      <c r="E33" s="6" t="str">
        <f>"002"</f>
        <v>002</v>
      </c>
      <c r="F33" s="6">
        <v>2021</v>
      </c>
      <c r="G33" s="7">
        <v>50468900</v>
      </c>
      <c r="H33" s="7">
        <v>9372500</v>
      </c>
      <c r="I33" s="7">
        <v>41096400</v>
      </c>
    </row>
    <row r="34" spans="1:9" x14ac:dyDescent="0.2">
      <c r="A34" s="1" t="s">
        <v>22</v>
      </c>
      <c r="B34" s="6" t="str">
        <f>"05126"</f>
        <v>05126</v>
      </c>
      <c r="C34" s="1" t="s">
        <v>12</v>
      </c>
      <c r="D34" s="1" t="s">
        <v>29</v>
      </c>
      <c r="E34" s="6" t="str">
        <f>"001"</f>
        <v>001</v>
      </c>
      <c r="F34" s="6">
        <v>2009</v>
      </c>
      <c r="G34" s="7">
        <v>333838600</v>
      </c>
      <c r="H34" s="7">
        <v>20991900</v>
      </c>
      <c r="I34" s="7">
        <v>312846700</v>
      </c>
    </row>
    <row r="35" spans="1:9" x14ac:dyDescent="0.2">
      <c r="A35" s="1" t="s">
        <v>22</v>
      </c>
      <c r="B35" s="6" t="str">
        <f>"05126"</f>
        <v>05126</v>
      </c>
      <c r="C35" s="1" t="s">
        <v>12</v>
      </c>
      <c r="D35" s="1" t="s">
        <v>29</v>
      </c>
      <c r="E35" s="6" t="str">
        <f>"002"</f>
        <v>002</v>
      </c>
      <c r="F35" s="6">
        <v>2011</v>
      </c>
      <c r="G35" s="7">
        <v>181171300</v>
      </c>
      <c r="H35" s="7">
        <v>3215800</v>
      </c>
      <c r="I35" s="7">
        <v>177955500</v>
      </c>
    </row>
    <row r="36" spans="1:9" x14ac:dyDescent="0.2">
      <c r="A36" s="1" t="s">
        <v>22</v>
      </c>
      <c r="B36" s="6" t="str">
        <f t="shared" ref="B36:B42" si="0">"05136"</f>
        <v>05136</v>
      </c>
      <c r="C36" s="1" t="s">
        <v>12</v>
      </c>
      <c r="D36" s="1" t="s">
        <v>30</v>
      </c>
      <c r="E36" s="6" t="str">
        <f>"003"</f>
        <v>003</v>
      </c>
      <c r="F36" s="6">
        <v>2006</v>
      </c>
      <c r="G36" s="7">
        <v>77172000</v>
      </c>
      <c r="H36" s="7">
        <v>14845200</v>
      </c>
      <c r="I36" s="7">
        <v>62326800</v>
      </c>
    </row>
    <row r="37" spans="1:9" x14ac:dyDescent="0.2">
      <c r="A37" s="1" t="s">
        <v>22</v>
      </c>
      <c r="B37" s="6" t="str">
        <f t="shared" si="0"/>
        <v>05136</v>
      </c>
      <c r="C37" s="1" t="s">
        <v>12</v>
      </c>
      <c r="D37" s="1" t="s">
        <v>30</v>
      </c>
      <c r="E37" s="6" t="str">
        <f>"004"</f>
        <v>004</v>
      </c>
      <c r="F37" s="6">
        <v>2007</v>
      </c>
      <c r="G37" s="7">
        <v>149129700</v>
      </c>
      <c r="H37" s="7">
        <v>60041300</v>
      </c>
      <c r="I37" s="7">
        <v>89088400</v>
      </c>
    </row>
    <row r="38" spans="1:9" x14ac:dyDescent="0.2">
      <c r="A38" s="1" t="s">
        <v>22</v>
      </c>
      <c r="B38" s="6" t="str">
        <f t="shared" si="0"/>
        <v>05136</v>
      </c>
      <c r="C38" s="1" t="s">
        <v>12</v>
      </c>
      <c r="D38" s="1" t="s">
        <v>30</v>
      </c>
      <c r="E38" s="6" t="str">
        <f>"005"</f>
        <v>005</v>
      </c>
      <c r="F38" s="6">
        <v>2008</v>
      </c>
      <c r="G38" s="7">
        <v>30587300</v>
      </c>
      <c r="H38" s="7">
        <v>9119100</v>
      </c>
      <c r="I38" s="7">
        <v>21468200</v>
      </c>
    </row>
    <row r="39" spans="1:9" x14ac:dyDescent="0.2">
      <c r="A39" s="1" t="s">
        <v>22</v>
      </c>
      <c r="B39" s="6" t="str">
        <f t="shared" si="0"/>
        <v>05136</v>
      </c>
      <c r="C39" s="1" t="s">
        <v>12</v>
      </c>
      <c r="D39" s="1" t="s">
        <v>30</v>
      </c>
      <c r="E39" s="6" t="str">
        <f>"006"</f>
        <v>006</v>
      </c>
      <c r="F39" s="6">
        <v>2008</v>
      </c>
      <c r="G39" s="7">
        <v>57881900</v>
      </c>
      <c r="H39" s="7">
        <v>7605700</v>
      </c>
      <c r="I39" s="7">
        <v>50276200</v>
      </c>
    </row>
    <row r="40" spans="1:9" x14ac:dyDescent="0.2">
      <c r="A40" s="1" t="s">
        <v>22</v>
      </c>
      <c r="B40" s="6" t="str">
        <f t="shared" si="0"/>
        <v>05136</v>
      </c>
      <c r="C40" s="1" t="s">
        <v>12</v>
      </c>
      <c r="D40" s="1" t="s">
        <v>30</v>
      </c>
      <c r="E40" s="6" t="str">
        <f>"007"</f>
        <v>007</v>
      </c>
      <c r="F40" s="6">
        <v>2012</v>
      </c>
      <c r="G40" s="7">
        <v>28342900</v>
      </c>
      <c r="H40" s="7">
        <v>17083400</v>
      </c>
      <c r="I40" s="7">
        <v>11259500</v>
      </c>
    </row>
    <row r="41" spans="1:9" x14ac:dyDescent="0.2">
      <c r="A41" s="1" t="s">
        <v>22</v>
      </c>
      <c r="B41" s="6" t="str">
        <f t="shared" si="0"/>
        <v>05136</v>
      </c>
      <c r="C41" s="1" t="s">
        <v>12</v>
      </c>
      <c r="D41" s="1" t="s">
        <v>30</v>
      </c>
      <c r="E41" s="6" t="str">
        <f>"008"</f>
        <v>008</v>
      </c>
      <c r="F41" s="6">
        <v>2015</v>
      </c>
      <c r="G41" s="7">
        <v>89095400</v>
      </c>
      <c r="H41" s="7">
        <v>8181900</v>
      </c>
      <c r="I41" s="7">
        <v>80913500</v>
      </c>
    </row>
    <row r="42" spans="1:9" x14ac:dyDescent="0.2">
      <c r="A42" s="1" t="s">
        <v>22</v>
      </c>
      <c r="B42" s="6" t="str">
        <f t="shared" si="0"/>
        <v>05136</v>
      </c>
      <c r="C42" s="1" t="s">
        <v>12</v>
      </c>
      <c r="D42" s="1" t="s">
        <v>30</v>
      </c>
      <c r="E42" s="6" t="str">
        <f>"009"</f>
        <v>009</v>
      </c>
      <c r="F42" s="6">
        <v>2019</v>
      </c>
      <c r="G42" s="7">
        <v>10787800</v>
      </c>
      <c r="H42" s="7">
        <v>5151200</v>
      </c>
      <c r="I42" s="7">
        <v>5636600</v>
      </c>
    </row>
    <row r="43" spans="1:9" x14ac:dyDescent="0.2">
      <c r="A43" s="1" t="s">
        <v>22</v>
      </c>
      <c r="B43" s="6" t="str">
        <f>"05171"</f>
        <v>05171</v>
      </c>
      <c r="C43" s="1" t="s">
        <v>12</v>
      </c>
      <c r="D43" s="1" t="s">
        <v>31</v>
      </c>
      <c r="E43" s="6" t="str">
        <f>"002"</f>
        <v>002</v>
      </c>
      <c r="F43" s="6">
        <v>2005</v>
      </c>
      <c r="G43" s="7">
        <v>30270600</v>
      </c>
      <c r="H43" s="7">
        <v>9356400</v>
      </c>
      <c r="I43" s="7">
        <v>20914200</v>
      </c>
    </row>
    <row r="44" spans="1:9" x14ac:dyDescent="0.2">
      <c r="A44" s="1" t="s">
        <v>22</v>
      </c>
      <c r="B44" s="6" t="str">
        <f>"05171"</f>
        <v>05171</v>
      </c>
      <c r="C44" s="1" t="s">
        <v>12</v>
      </c>
      <c r="D44" s="1" t="s">
        <v>31</v>
      </c>
      <c r="E44" s="6" t="str">
        <f>"003"</f>
        <v>003</v>
      </c>
      <c r="F44" s="6">
        <v>2014</v>
      </c>
      <c r="G44" s="7">
        <v>7512900</v>
      </c>
      <c r="H44" s="7">
        <v>4838300</v>
      </c>
      <c r="I44" s="7">
        <v>2674600</v>
      </c>
    </row>
    <row r="45" spans="1:9" x14ac:dyDescent="0.2">
      <c r="A45" s="1" t="s">
        <v>22</v>
      </c>
      <c r="B45" s="6" t="str">
        <f>"05171"</f>
        <v>05171</v>
      </c>
      <c r="C45" s="1" t="s">
        <v>12</v>
      </c>
      <c r="D45" s="1" t="s">
        <v>31</v>
      </c>
      <c r="E45" s="6" t="str">
        <f>"004"</f>
        <v>004</v>
      </c>
      <c r="F45" s="6">
        <v>2015</v>
      </c>
      <c r="G45" s="7">
        <v>54400800</v>
      </c>
      <c r="H45" s="7">
        <v>960300</v>
      </c>
      <c r="I45" s="7">
        <v>53440500</v>
      </c>
    </row>
    <row r="46" spans="1:9" x14ac:dyDescent="0.2">
      <c r="A46" s="1" t="s">
        <v>22</v>
      </c>
      <c r="B46" s="6" t="str">
        <f>"05178"</f>
        <v>05178</v>
      </c>
      <c r="C46" s="1" t="s">
        <v>12</v>
      </c>
      <c r="D46" s="1" t="s">
        <v>32</v>
      </c>
      <c r="E46" s="6" t="str">
        <f>"001"</f>
        <v>001</v>
      </c>
      <c r="F46" s="6">
        <v>2004</v>
      </c>
      <c r="G46" s="7">
        <v>92069200</v>
      </c>
      <c r="H46" s="7">
        <v>9662000</v>
      </c>
      <c r="I46" s="7">
        <v>82407200</v>
      </c>
    </row>
    <row r="47" spans="1:9" x14ac:dyDescent="0.2">
      <c r="A47" s="1" t="s">
        <v>22</v>
      </c>
      <c r="B47" s="6" t="str">
        <f>"05178"</f>
        <v>05178</v>
      </c>
      <c r="C47" s="1" t="s">
        <v>12</v>
      </c>
      <c r="D47" s="1" t="s">
        <v>32</v>
      </c>
      <c r="E47" s="6" t="str">
        <f>"004"</f>
        <v>004</v>
      </c>
      <c r="F47" s="6">
        <v>2014</v>
      </c>
      <c r="G47" s="7">
        <v>103605100</v>
      </c>
      <c r="H47" s="7">
        <v>28951600</v>
      </c>
      <c r="I47" s="7">
        <v>74653500</v>
      </c>
    </row>
    <row r="48" spans="1:9" x14ac:dyDescent="0.2">
      <c r="A48" s="1" t="s">
        <v>22</v>
      </c>
      <c r="B48" s="6" t="str">
        <f>"05191"</f>
        <v>05191</v>
      </c>
      <c r="C48" s="1" t="s">
        <v>12</v>
      </c>
      <c r="D48" s="1" t="s">
        <v>33</v>
      </c>
      <c r="E48" s="6" t="str">
        <f>"003"</f>
        <v>003</v>
      </c>
      <c r="F48" s="6">
        <v>2015</v>
      </c>
      <c r="G48" s="7">
        <v>56740800</v>
      </c>
      <c r="H48" s="7">
        <v>7951200</v>
      </c>
      <c r="I48" s="7">
        <v>48789600</v>
      </c>
    </row>
    <row r="49" spans="1:9" x14ac:dyDescent="0.2">
      <c r="A49" s="1" t="s">
        <v>22</v>
      </c>
      <c r="B49" s="6" t="str">
        <f>"05191"</f>
        <v>05191</v>
      </c>
      <c r="C49" s="1" t="s">
        <v>12</v>
      </c>
      <c r="D49" s="1" t="s">
        <v>33</v>
      </c>
      <c r="E49" s="6" t="str">
        <f>"004"</f>
        <v>004</v>
      </c>
      <c r="F49" s="6">
        <v>2016</v>
      </c>
      <c r="G49" s="7">
        <v>16969000</v>
      </c>
      <c r="H49" s="7">
        <v>8400</v>
      </c>
      <c r="I49" s="7">
        <v>16960600</v>
      </c>
    </row>
    <row r="50" spans="1:9" x14ac:dyDescent="0.2">
      <c r="A50" s="1" t="s">
        <v>22</v>
      </c>
      <c r="B50" s="6" t="str">
        <f>"05191"</f>
        <v>05191</v>
      </c>
      <c r="C50" s="1" t="s">
        <v>12</v>
      </c>
      <c r="D50" s="1" t="s">
        <v>33</v>
      </c>
      <c r="E50" s="6" t="str">
        <f>"005"</f>
        <v>005</v>
      </c>
      <c r="F50" s="6">
        <v>2018</v>
      </c>
      <c r="G50" s="7">
        <v>16502900</v>
      </c>
      <c r="H50" s="7">
        <v>5217500</v>
      </c>
      <c r="I50" s="7">
        <v>11285400</v>
      </c>
    </row>
    <row r="51" spans="1:9" x14ac:dyDescent="0.2">
      <c r="A51" s="1" t="s">
        <v>22</v>
      </c>
      <c r="B51" s="6" t="str">
        <f t="shared" ref="B51:B62" si="1">"05216"</f>
        <v>05216</v>
      </c>
      <c r="C51" s="1" t="s">
        <v>8</v>
      </c>
      <c r="D51" s="1" t="s">
        <v>34</v>
      </c>
      <c r="E51" s="6" t="str">
        <f>"007"</f>
        <v>007</v>
      </c>
      <c r="F51" s="6">
        <v>2007</v>
      </c>
      <c r="G51" s="7">
        <v>24643700</v>
      </c>
      <c r="H51" s="7">
        <v>11409500</v>
      </c>
      <c r="I51" s="7">
        <v>13234200</v>
      </c>
    </row>
    <row r="52" spans="1:9" x14ac:dyDescent="0.2">
      <c r="A52" s="1" t="s">
        <v>22</v>
      </c>
      <c r="B52" s="6" t="str">
        <f t="shared" si="1"/>
        <v>05216</v>
      </c>
      <c r="C52" s="1" t="s">
        <v>8</v>
      </c>
      <c r="D52" s="1" t="s">
        <v>34</v>
      </c>
      <c r="E52" s="6" t="str">
        <f>"008"</f>
        <v>008</v>
      </c>
      <c r="F52" s="6">
        <v>2007</v>
      </c>
      <c r="G52" s="7">
        <v>58539200</v>
      </c>
      <c r="H52" s="7">
        <v>32201300</v>
      </c>
      <c r="I52" s="7">
        <v>26337900</v>
      </c>
    </row>
    <row r="53" spans="1:9" x14ac:dyDescent="0.2">
      <c r="A53" s="1" t="s">
        <v>22</v>
      </c>
      <c r="B53" s="6" t="str">
        <f t="shared" si="1"/>
        <v>05216</v>
      </c>
      <c r="C53" s="1" t="s">
        <v>8</v>
      </c>
      <c r="D53" s="1" t="s">
        <v>34</v>
      </c>
      <c r="E53" s="6" t="str">
        <f>"009"</f>
        <v>009</v>
      </c>
      <c r="F53" s="6">
        <v>2012</v>
      </c>
      <c r="G53" s="7">
        <v>28104300</v>
      </c>
      <c r="H53" s="7">
        <v>14157100</v>
      </c>
      <c r="I53" s="7">
        <v>13947200</v>
      </c>
    </row>
    <row r="54" spans="1:9" x14ac:dyDescent="0.2">
      <c r="A54" s="1" t="s">
        <v>22</v>
      </c>
      <c r="B54" s="6" t="str">
        <f t="shared" si="1"/>
        <v>05216</v>
      </c>
      <c r="C54" s="1" t="s">
        <v>8</v>
      </c>
      <c r="D54" s="1" t="s">
        <v>34</v>
      </c>
      <c r="E54" s="6" t="str">
        <f>"010"</f>
        <v>010</v>
      </c>
      <c r="F54" s="6">
        <v>2012</v>
      </c>
      <c r="G54" s="7">
        <v>66405300</v>
      </c>
      <c r="H54" s="7">
        <v>37688600</v>
      </c>
      <c r="I54" s="7">
        <v>28716700</v>
      </c>
    </row>
    <row r="55" spans="1:9" x14ac:dyDescent="0.2">
      <c r="A55" s="1" t="s">
        <v>22</v>
      </c>
      <c r="B55" s="6" t="str">
        <f t="shared" si="1"/>
        <v>05216</v>
      </c>
      <c r="C55" s="1" t="s">
        <v>8</v>
      </c>
      <c r="D55" s="1" t="s">
        <v>34</v>
      </c>
      <c r="E55" s="6" t="str">
        <f>"011"</f>
        <v>011</v>
      </c>
      <c r="F55" s="6">
        <v>2015</v>
      </c>
      <c r="G55" s="7">
        <v>98953000</v>
      </c>
      <c r="H55" s="7">
        <v>29592300</v>
      </c>
      <c r="I55" s="7">
        <v>69360700</v>
      </c>
    </row>
    <row r="56" spans="1:9" x14ac:dyDescent="0.2">
      <c r="A56" s="1" t="s">
        <v>22</v>
      </c>
      <c r="B56" s="6" t="str">
        <f t="shared" si="1"/>
        <v>05216</v>
      </c>
      <c r="C56" s="1" t="s">
        <v>8</v>
      </c>
      <c r="D56" s="1" t="s">
        <v>34</v>
      </c>
      <c r="E56" s="6" t="str">
        <f>"012"</f>
        <v>012</v>
      </c>
      <c r="F56" s="6">
        <v>2015</v>
      </c>
      <c r="G56" s="7">
        <v>191932200</v>
      </c>
      <c r="H56" s="7">
        <v>22246700</v>
      </c>
      <c r="I56" s="7">
        <v>169685500</v>
      </c>
    </row>
    <row r="57" spans="1:9" x14ac:dyDescent="0.2">
      <c r="A57" s="1" t="s">
        <v>22</v>
      </c>
      <c r="B57" s="6" t="str">
        <f t="shared" si="1"/>
        <v>05216</v>
      </c>
      <c r="C57" s="1" t="s">
        <v>8</v>
      </c>
      <c r="D57" s="1" t="s">
        <v>34</v>
      </c>
      <c r="E57" s="6" t="str">
        <f>"013"</f>
        <v>013</v>
      </c>
      <c r="F57" s="6">
        <v>2017</v>
      </c>
      <c r="G57" s="7">
        <v>80686700</v>
      </c>
      <c r="H57" s="7">
        <v>49749600</v>
      </c>
      <c r="I57" s="7">
        <v>30937100</v>
      </c>
    </row>
    <row r="58" spans="1:9" x14ac:dyDescent="0.2">
      <c r="A58" s="1" t="s">
        <v>22</v>
      </c>
      <c r="B58" s="6" t="str">
        <f t="shared" si="1"/>
        <v>05216</v>
      </c>
      <c r="C58" s="1" t="s">
        <v>8</v>
      </c>
      <c r="D58" s="1" t="s">
        <v>34</v>
      </c>
      <c r="E58" s="6" t="str">
        <f>"014"</f>
        <v>014</v>
      </c>
      <c r="F58" s="6">
        <v>2019</v>
      </c>
      <c r="G58" s="7">
        <v>3006000</v>
      </c>
      <c r="H58" s="7">
        <v>579600</v>
      </c>
      <c r="I58" s="7">
        <v>2426400</v>
      </c>
    </row>
    <row r="59" spans="1:9" x14ac:dyDescent="0.2">
      <c r="A59" s="1" t="s">
        <v>22</v>
      </c>
      <c r="B59" s="6" t="str">
        <f t="shared" si="1"/>
        <v>05216</v>
      </c>
      <c r="C59" s="1" t="s">
        <v>8</v>
      </c>
      <c r="D59" s="1" t="s">
        <v>34</v>
      </c>
      <c r="E59" s="6" t="str">
        <f>"015"</f>
        <v>015</v>
      </c>
      <c r="F59" s="6">
        <v>2020</v>
      </c>
      <c r="G59" s="7">
        <v>47701300</v>
      </c>
      <c r="H59" s="7">
        <v>2616000</v>
      </c>
      <c r="I59" s="7">
        <v>45085300</v>
      </c>
    </row>
    <row r="60" spans="1:9" x14ac:dyDescent="0.2">
      <c r="A60" s="1" t="s">
        <v>22</v>
      </c>
      <c r="B60" s="6" t="str">
        <f t="shared" si="1"/>
        <v>05216</v>
      </c>
      <c r="C60" s="1" t="s">
        <v>8</v>
      </c>
      <c r="D60" s="1" t="s">
        <v>34</v>
      </c>
      <c r="E60" s="6" t="str">
        <f>"016"</f>
        <v>016</v>
      </c>
      <c r="F60" s="6">
        <v>2020</v>
      </c>
      <c r="G60" s="7">
        <v>0</v>
      </c>
      <c r="H60" s="7">
        <v>0</v>
      </c>
      <c r="I60" s="7">
        <v>0</v>
      </c>
    </row>
    <row r="61" spans="1:9" x14ac:dyDescent="0.2">
      <c r="A61" s="1" t="s">
        <v>22</v>
      </c>
      <c r="B61" s="6" t="str">
        <f t="shared" si="1"/>
        <v>05216</v>
      </c>
      <c r="C61" s="1" t="s">
        <v>8</v>
      </c>
      <c r="D61" s="1" t="s">
        <v>34</v>
      </c>
      <c r="E61" s="6" t="str">
        <f>"017"</f>
        <v>017</v>
      </c>
      <c r="F61" s="6">
        <v>2021</v>
      </c>
      <c r="G61" s="7">
        <v>16631200</v>
      </c>
      <c r="H61" s="7">
        <v>0</v>
      </c>
      <c r="I61" s="7">
        <v>16631200</v>
      </c>
    </row>
    <row r="62" spans="1:9" x14ac:dyDescent="0.2">
      <c r="A62" s="1" t="s">
        <v>22</v>
      </c>
      <c r="B62" s="6" t="str">
        <f t="shared" si="1"/>
        <v>05216</v>
      </c>
      <c r="C62" s="1" t="s">
        <v>8</v>
      </c>
      <c r="D62" s="1" t="s">
        <v>34</v>
      </c>
      <c r="E62" s="6" t="str">
        <f>"018"</f>
        <v>018</v>
      </c>
      <c r="F62" s="6">
        <v>2024</v>
      </c>
      <c r="G62" s="7">
        <v>25928900</v>
      </c>
      <c r="H62" s="7">
        <v>24316400</v>
      </c>
      <c r="I62" s="7">
        <v>1612500</v>
      </c>
    </row>
    <row r="63" spans="1:9" x14ac:dyDescent="0.2">
      <c r="A63" s="1" t="s">
        <v>22</v>
      </c>
      <c r="B63" s="6" t="str">
        <f t="shared" ref="B63:B80" si="2">"05231"</f>
        <v>05231</v>
      </c>
      <c r="C63" s="1" t="s">
        <v>8</v>
      </c>
      <c r="D63" s="1" t="s">
        <v>35</v>
      </c>
      <c r="E63" s="6" t="str">
        <f>"005"</f>
        <v>005</v>
      </c>
      <c r="F63" s="6">
        <v>2000</v>
      </c>
      <c r="G63" s="7">
        <v>177424400</v>
      </c>
      <c r="H63" s="7">
        <v>48614800</v>
      </c>
      <c r="I63" s="7">
        <v>128809600</v>
      </c>
    </row>
    <row r="64" spans="1:9" x14ac:dyDescent="0.2">
      <c r="A64" s="1" t="s">
        <v>22</v>
      </c>
      <c r="B64" s="6" t="str">
        <f t="shared" si="2"/>
        <v>05231</v>
      </c>
      <c r="C64" s="1" t="s">
        <v>8</v>
      </c>
      <c r="D64" s="1" t="s">
        <v>35</v>
      </c>
      <c r="E64" s="6" t="str">
        <f>"010"</f>
        <v>010</v>
      </c>
      <c r="F64" s="6">
        <v>2004</v>
      </c>
      <c r="G64" s="7">
        <v>44971400</v>
      </c>
      <c r="H64" s="7">
        <v>23429200</v>
      </c>
      <c r="I64" s="7">
        <v>21542200</v>
      </c>
    </row>
    <row r="65" spans="1:9" x14ac:dyDescent="0.2">
      <c r="A65" s="1" t="s">
        <v>22</v>
      </c>
      <c r="B65" s="6" t="str">
        <f t="shared" si="2"/>
        <v>05231</v>
      </c>
      <c r="C65" s="1" t="s">
        <v>8</v>
      </c>
      <c r="D65" s="1" t="s">
        <v>35</v>
      </c>
      <c r="E65" s="6" t="str">
        <f>"012"</f>
        <v>012</v>
      </c>
      <c r="F65" s="6">
        <v>2005</v>
      </c>
      <c r="G65" s="7">
        <v>397281800</v>
      </c>
      <c r="H65" s="7">
        <v>173823900</v>
      </c>
      <c r="I65" s="7">
        <v>223457900</v>
      </c>
    </row>
    <row r="66" spans="1:9" x14ac:dyDescent="0.2">
      <c r="A66" s="1" t="s">
        <v>22</v>
      </c>
      <c r="B66" s="6" t="str">
        <f t="shared" si="2"/>
        <v>05231</v>
      </c>
      <c r="C66" s="1" t="s">
        <v>8</v>
      </c>
      <c r="D66" s="1" t="s">
        <v>35</v>
      </c>
      <c r="E66" s="6" t="str">
        <f>"013"</f>
        <v>013</v>
      </c>
      <c r="F66" s="6">
        <v>2005</v>
      </c>
      <c r="G66" s="7">
        <v>156074200</v>
      </c>
      <c r="H66" s="7">
        <v>41617000</v>
      </c>
      <c r="I66" s="7">
        <v>114457200</v>
      </c>
    </row>
    <row r="67" spans="1:9" x14ac:dyDescent="0.2">
      <c r="A67" s="1" t="s">
        <v>22</v>
      </c>
      <c r="B67" s="6" t="str">
        <f t="shared" si="2"/>
        <v>05231</v>
      </c>
      <c r="C67" s="1" t="s">
        <v>8</v>
      </c>
      <c r="D67" s="1" t="s">
        <v>35</v>
      </c>
      <c r="E67" s="6" t="str">
        <f>"014"</f>
        <v>014</v>
      </c>
      <c r="F67" s="6">
        <v>2006</v>
      </c>
      <c r="G67" s="7">
        <v>72192600</v>
      </c>
      <c r="H67" s="7">
        <v>6155500</v>
      </c>
      <c r="I67" s="7">
        <v>66037100</v>
      </c>
    </row>
    <row r="68" spans="1:9" x14ac:dyDescent="0.2">
      <c r="A68" s="1" t="s">
        <v>22</v>
      </c>
      <c r="B68" s="6" t="str">
        <f t="shared" si="2"/>
        <v>05231</v>
      </c>
      <c r="C68" s="1" t="s">
        <v>8</v>
      </c>
      <c r="D68" s="1" t="s">
        <v>35</v>
      </c>
      <c r="E68" s="6" t="str">
        <f>"016"</f>
        <v>016</v>
      </c>
      <c r="F68" s="6">
        <v>2007</v>
      </c>
      <c r="G68" s="7">
        <v>136511500</v>
      </c>
      <c r="H68" s="7">
        <v>76141400</v>
      </c>
      <c r="I68" s="7">
        <v>60370100</v>
      </c>
    </row>
    <row r="69" spans="1:9" x14ac:dyDescent="0.2">
      <c r="A69" s="1" t="s">
        <v>22</v>
      </c>
      <c r="B69" s="6" t="str">
        <f t="shared" si="2"/>
        <v>05231</v>
      </c>
      <c r="C69" s="1" t="s">
        <v>8</v>
      </c>
      <c r="D69" s="1" t="s">
        <v>35</v>
      </c>
      <c r="E69" s="6" t="str">
        <f>"018"</f>
        <v>018</v>
      </c>
      <c r="F69" s="6">
        <v>2016</v>
      </c>
      <c r="G69" s="7">
        <v>105195500</v>
      </c>
      <c r="H69" s="7">
        <v>25452000</v>
      </c>
      <c r="I69" s="7">
        <v>79743500</v>
      </c>
    </row>
    <row r="70" spans="1:9" x14ac:dyDescent="0.2">
      <c r="A70" s="1" t="s">
        <v>22</v>
      </c>
      <c r="B70" s="6" t="str">
        <f t="shared" si="2"/>
        <v>05231</v>
      </c>
      <c r="C70" s="1" t="s">
        <v>8</v>
      </c>
      <c r="D70" s="1" t="s">
        <v>35</v>
      </c>
      <c r="E70" s="6" t="str">
        <f>"019"</f>
        <v>019</v>
      </c>
      <c r="F70" s="6">
        <v>2017</v>
      </c>
      <c r="G70" s="7">
        <v>52083000</v>
      </c>
      <c r="H70" s="7">
        <v>25260900</v>
      </c>
      <c r="I70" s="7">
        <v>26822100</v>
      </c>
    </row>
    <row r="71" spans="1:9" x14ac:dyDescent="0.2">
      <c r="A71" s="1" t="s">
        <v>22</v>
      </c>
      <c r="B71" s="6" t="str">
        <f t="shared" si="2"/>
        <v>05231</v>
      </c>
      <c r="C71" s="1" t="s">
        <v>8</v>
      </c>
      <c r="D71" s="1" t="s">
        <v>35</v>
      </c>
      <c r="E71" s="6" t="str">
        <f>"020"</f>
        <v>020</v>
      </c>
      <c r="F71" s="6">
        <v>2018</v>
      </c>
      <c r="G71" s="7">
        <v>17786900</v>
      </c>
      <c r="H71" s="7">
        <v>5126700</v>
      </c>
      <c r="I71" s="7">
        <v>12660200</v>
      </c>
    </row>
    <row r="72" spans="1:9" x14ac:dyDescent="0.2">
      <c r="A72" s="1" t="s">
        <v>22</v>
      </c>
      <c r="B72" s="6" t="str">
        <f t="shared" si="2"/>
        <v>05231</v>
      </c>
      <c r="C72" s="1" t="s">
        <v>8</v>
      </c>
      <c r="D72" s="1" t="s">
        <v>35</v>
      </c>
      <c r="E72" s="6" t="str">
        <f>"021"</f>
        <v>021</v>
      </c>
      <c r="F72" s="6">
        <v>2018</v>
      </c>
      <c r="G72" s="7">
        <v>105432700</v>
      </c>
      <c r="H72" s="7">
        <v>18646000</v>
      </c>
      <c r="I72" s="7">
        <v>86786700</v>
      </c>
    </row>
    <row r="73" spans="1:9" x14ac:dyDescent="0.2">
      <c r="A73" s="1" t="s">
        <v>22</v>
      </c>
      <c r="B73" s="6" t="str">
        <f t="shared" si="2"/>
        <v>05231</v>
      </c>
      <c r="C73" s="1" t="s">
        <v>8</v>
      </c>
      <c r="D73" s="1" t="s">
        <v>35</v>
      </c>
      <c r="E73" s="6" t="str">
        <f>"022"</f>
        <v>022</v>
      </c>
      <c r="F73" s="6">
        <v>2019</v>
      </c>
      <c r="G73" s="7">
        <v>7695400</v>
      </c>
      <c r="H73" s="7">
        <v>3789000</v>
      </c>
      <c r="I73" s="7">
        <v>3906400</v>
      </c>
    </row>
    <row r="74" spans="1:9" x14ac:dyDescent="0.2">
      <c r="A74" s="1" t="s">
        <v>22</v>
      </c>
      <c r="B74" s="6" t="str">
        <f t="shared" si="2"/>
        <v>05231</v>
      </c>
      <c r="C74" s="1" t="s">
        <v>8</v>
      </c>
      <c r="D74" s="1" t="s">
        <v>35</v>
      </c>
      <c r="E74" s="6" t="str">
        <f>"023"</f>
        <v>023</v>
      </c>
      <c r="F74" s="6">
        <v>2019</v>
      </c>
      <c r="G74" s="7">
        <v>38010900</v>
      </c>
      <c r="H74" s="7">
        <v>11540900</v>
      </c>
      <c r="I74" s="7">
        <v>26470000</v>
      </c>
    </row>
    <row r="75" spans="1:9" x14ac:dyDescent="0.2">
      <c r="A75" s="1" t="s">
        <v>22</v>
      </c>
      <c r="B75" s="6" t="str">
        <f t="shared" si="2"/>
        <v>05231</v>
      </c>
      <c r="C75" s="1" t="s">
        <v>8</v>
      </c>
      <c r="D75" s="1" t="s">
        <v>35</v>
      </c>
      <c r="E75" s="6" t="str">
        <f>"024"</f>
        <v>024</v>
      </c>
      <c r="F75" s="6">
        <v>2022</v>
      </c>
      <c r="G75" s="7">
        <v>3633500</v>
      </c>
      <c r="H75" s="7">
        <v>2824900</v>
      </c>
      <c r="I75" s="7">
        <v>808600</v>
      </c>
    </row>
    <row r="76" spans="1:9" x14ac:dyDescent="0.2">
      <c r="A76" s="1" t="s">
        <v>22</v>
      </c>
      <c r="B76" s="6" t="str">
        <f t="shared" si="2"/>
        <v>05231</v>
      </c>
      <c r="C76" s="1" t="s">
        <v>8</v>
      </c>
      <c r="D76" s="1" t="s">
        <v>35</v>
      </c>
      <c r="E76" s="6" t="str">
        <f>"025"</f>
        <v>025</v>
      </c>
      <c r="F76" s="6">
        <v>2022</v>
      </c>
      <c r="G76" s="7">
        <v>31331500</v>
      </c>
      <c r="H76" s="7">
        <v>649100</v>
      </c>
      <c r="I76" s="7">
        <v>30682400</v>
      </c>
    </row>
    <row r="77" spans="1:9" x14ac:dyDescent="0.2">
      <c r="A77" s="1" t="s">
        <v>22</v>
      </c>
      <c r="B77" s="6" t="str">
        <f t="shared" si="2"/>
        <v>05231</v>
      </c>
      <c r="C77" s="1" t="s">
        <v>8</v>
      </c>
      <c r="D77" s="1" t="s">
        <v>35</v>
      </c>
      <c r="E77" s="6" t="str">
        <f>"026"</f>
        <v>026</v>
      </c>
      <c r="F77" s="6">
        <v>2024</v>
      </c>
      <c r="G77" s="7">
        <v>5963300</v>
      </c>
      <c r="H77" s="7">
        <v>5196900</v>
      </c>
      <c r="I77" s="7">
        <v>766400</v>
      </c>
    </row>
    <row r="78" spans="1:9" x14ac:dyDescent="0.2">
      <c r="A78" s="1" t="s">
        <v>22</v>
      </c>
      <c r="B78" s="6" t="str">
        <f t="shared" si="2"/>
        <v>05231</v>
      </c>
      <c r="C78" s="1" t="s">
        <v>8</v>
      </c>
      <c r="D78" s="1" t="s">
        <v>35</v>
      </c>
      <c r="E78" s="6" t="str">
        <f>"027"</f>
        <v>027</v>
      </c>
      <c r="F78" s="6">
        <v>2024</v>
      </c>
      <c r="G78" s="7">
        <v>4180100</v>
      </c>
      <c r="H78" s="7">
        <v>3020300</v>
      </c>
      <c r="I78" s="7">
        <v>1159800</v>
      </c>
    </row>
    <row r="79" spans="1:9" x14ac:dyDescent="0.2">
      <c r="A79" s="1" t="s">
        <v>22</v>
      </c>
      <c r="B79" s="6" t="str">
        <f t="shared" si="2"/>
        <v>05231</v>
      </c>
      <c r="C79" s="1" t="s">
        <v>8</v>
      </c>
      <c r="D79" s="1" t="s">
        <v>35</v>
      </c>
      <c r="E79" s="6" t="str">
        <f>"028"</f>
        <v>028</v>
      </c>
      <c r="F79" s="6">
        <v>2024</v>
      </c>
      <c r="G79" s="7">
        <v>706300</v>
      </c>
      <c r="H79" s="7">
        <v>648900</v>
      </c>
      <c r="I79" s="7">
        <v>57400</v>
      </c>
    </row>
    <row r="80" spans="1:9" x14ac:dyDescent="0.2">
      <c r="A80" s="1" t="s">
        <v>22</v>
      </c>
      <c r="B80" s="6" t="str">
        <f t="shared" si="2"/>
        <v>05231</v>
      </c>
      <c r="C80" s="1" t="s">
        <v>8</v>
      </c>
      <c r="D80" s="1" t="s">
        <v>35</v>
      </c>
      <c r="E80" s="6" t="str">
        <f>"029"</f>
        <v>029</v>
      </c>
      <c r="F80" s="6">
        <v>2024</v>
      </c>
      <c r="G80" s="7">
        <v>1673100</v>
      </c>
      <c r="H80" s="7">
        <v>2749800</v>
      </c>
      <c r="I80" s="7">
        <v>-1076700</v>
      </c>
    </row>
    <row r="81" spans="1:9" x14ac:dyDescent="0.2">
      <c r="A81" s="1" t="s">
        <v>36</v>
      </c>
      <c r="B81" s="6" t="str">
        <f>"06111"</f>
        <v>06111</v>
      </c>
      <c r="C81" s="1" t="s">
        <v>12</v>
      </c>
      <c r="D81" s="1" t="s">
        <v>37</v>
      </c>
      <c r="E81" s="6" t="str">
        <f>"001"</f>
        <v>001</v>
      </c>
      <c r="F81" s="6">
        <v>2019</v>
      </c>
      <c r="G81" s="7">
        <v>8270400</v>
      </c>
      <c r="H81" s="7">
        <v>1901000</v>
      </c>
      <c r="I81" s="7">
        <v>6369400</v>
      </c>
    </row>
    <row r="82" spans="1:9" x14ac:dyDescent="0.2">
      <c r="A82" s="1" t="s">
        <v>36</v>
      </c>
      <c r="B82" s="6" t="str">
        <f>"06251"</f>
        <v>06251</v>
      </c>
      <c r="C82" s="1" t="s">
        <v>8</v>
      </c>
      <c r="D82" s="1" t="s">
        <v>38</v>
      </c>
      <c r="E82" s="6" t="str">
        <f>"002"</f>
        <v>002</v>
      </c>
      <c r="F82" s="6">
        <v>2005</v>
      </c>
      <c r="G82" s="7">
        <v>17485200</v>
      </c>
      <c r="H82" s="7">
        <v>19900</v>
      </c>
      <c r="I82" s="7">
        <v>17465300</v>
      </c>
    </row>
    <row r="83" spans="1:9" x14ac:dyDescent="0.2">
      <c r="A83" s="1" t="s">
        <v>36</v>
      </c>
      <c r="B83" s="6" t="str">
        <f>"06251"</f>
        <v>06251</v>
      </c>
      <c r="C83" s="1" t="s">
        <v>8</v>
      </c>
      <c r="D83" s="1" t="s">
        <v>38</v>
      </c>
      <c r="E83" s="6" t="str">
        <f>"003"</f>
        <v>003</v>
      </c>
      <c r="F83" s="6">
        <v>2023</v>
      </c>
      <c r="G83" s="7">
        <v>3188100</v>
      </c>
      <c r="H83" s="7">
        <v>2636100</v>
      </c>
      <c r="I83" s="7">
        <v>552000</v>
      </c>
    </row>
    <row r="84" spans="1:9" x14ac:dyDescent="0.2">
      <c r="A84" s="1" t="s">
        <v>39</v>
      </c>
      <c r="B84" s="6" t="str">
        <f>"07131"</f>
        <v>07131</v>
      </c>
      <c r="C84" s="1" t="s">
        <v>12</v>
      </c>
      <c r="D84" s="1" t="s">
        <v>40</v>
      </c>
      <c r="E84" s="6" t="str">
        <f>"004"</f>
        <v>004</v>
      </c>
      <c r="F84" s="6">
        <v>2005</v>
      </c>
      <c r="G84" s="7">
        <v>8588700</v>
      </c>
      <c r="H84" s="7">
        <v>1056100</v>
      </c>
      <c r="I84" s="7">
        <v>7532600</v>
      </c>
    </row>
    <row r="85" spans="1:9" x14ac:dyDescent="0.2">
      <c r="A85" s="1" t="s">
        <v>39</v>
      </c>
      <c r="B85" s="6" t="str">
        <f>"07131"</f>
        <v>07131</v>
      </c>
      <c r="C85" s="1" t="s">
        <v>12</v>
      </c>
      <c r="D85" s="1" t="s">
        <v>40</v>
      </c>
      <c r="E85" s="6" t="str">
        <f>"005"</f>
        <v>005</v>
      </c>
      <c r="F85" s="6">
        <v>2008</v>
      </c>
      <c r="G85" s="7">
        <v>6426700</v>
      </c>
      <c r="H85" s="7">
        <v>4309500</v>
      </c>
      <c r="I85" s="7">
        <v>2117200</v>
      </c>
    </row>
    <row r="86" spans="1:9" x14ac:dyDescent="0.2">
      <c r="A86" s="1" t="s">
        <v>39</v>
      </c>
      <c r="B86" s="6" t="str">
        <f>"07131"</f>
        <v>07131</v>
      </c>
      <c r="C86" s="1" t="s">
        <v>12</v>
      </c>
      <c r="D86" s="1" t="s">
        <v>40</v>
      </c>
      <c r="E86" s="6" t="str">
        <f>"006"</f>
        <v>006</v>
      </c>
      <c r="F86" s="6">
        <v>2021</v>
      </c>
      <c r="G86" s="7">
        <v>8131500</v>
      </c>
      <c r="H86" s="7">
        <v>3908600</v>
      </c>
      <c r="I86" s="7">
        <v>4222900</v>
      </c>
    </row>
    <row r="87" spans="1:9" x14ac:dyDescent="0.2">
      <c r="A87" s="1" t="s">
        <v>39</v>
      </c>
      <c r="B87" s="6" t="str">
        <f>"07181"</f>
        <v>07181</v>
      </c>
      <c r="C87" s="1" t="s">
        <v>12</v>
      </c>
      <c r="D87" s="1" t="s">
        <v>41</v>
      </c>
      <c r="E87" s="6" t="str">
        <f>"002"</f>
        <v>002</v>
      </c>
      <c r="F87" s="6">
        <v>2003</v>
      </c>
      <c r="G87" s="7">
        <v>18762600</v>
      </c>
      <c r="H87" s="7">
        <v>18762600</v>
      </c>
      <c r="I87" s="7">
        <v>0</v>
      </c>
    </row>
    <row r="88" spans="1:9" x14ac:dyDescent="0.2">
      <c r="A88" s="1" t="s">
        <v>39</v>
      </c>
      <c r="B88" s="6" t="str">
        <f>"07181"</f>
        <v>07181</v>
      </c>
      <c r="C88" s="1" t="s">
        <v>12</v>
      </c>
      <c r="D88" s="1" t="s">
        <v>41</v>
      </c>
      <c r="E88" s="6" t="str">
        <f>"003"</f>
        <v>003</v>
      </c>
      <c r="F88" s="6">
        <v>2021</v>
      </c>
      <c r="G88" s="7">
        <v>1440300</v>
      </c>
      <c r="H88" s="7">
        <v>588100</v>
      </c>
      <c r="I88" s="7">
        <v>852200</v>
      </c>
    </row>
    <row r="89" spans="1:9" x14ac:dyDescent="0.2">
      <c r="A89" s="1" t="s">
        <v>39</v>
      </c>
      <c r="B89" s="6" t="str">
        <f>"07191"</f>
        <v>07191</v>
      </c>
      <c r="C89" s="1" t="s">
        <v>12</v>
      </c>
      <c r="D89" s="1" t="s">
        <v>42</v>
      </c>
      <c r="E89" s="6" t="str">
        <f>"002"</f>
        <v>002</v>
      </c>
      <c r="F89" s="6">
        <v>2005</v>
      </c>
      <c r="G89" s="7">
        <v>7399000</v>
      </c>
      <c r="H89" s="7">
        <v>2889500</v>
      </c>
      <c r="I89" s="7">
        <v>4509500</v>
      </c>
    </row>
    <row r="90" spans="1:9" x14ac:dyDescent="0.2">
      <c r="A90" s="1" t="s">
        <v>43</v>
      </c>
      <c r="B90" s="6" t="str">
        <f t="shared" ref="B90:B95" si="3">"08131"</f>
        <v>08131</v>
      </c>
      <c r="C90" s="1" t="s">
        <v>12</v>
      </c>
      <c r="D90" s="1" t="s">
        <v>44</v>
      </c>
      <c r="E90" s="6" t="str">
        <f>"001"</f>
        <v>001</v>
      </c>
      <c r="F90" s="6">
        <v>2013</v>
      </c>
      <c r="G90" s="7">
        <v>103404500</v>
      </c>
      <c r="H90" s="7">
        <v>785100</v>
      </c>
      <c r="I90" s="7">
        <v>102619400</v>
      </c>
    </row>
    <row r="91" spans="1:9" x14ac:dyDescent="0.2">
      <c r="A91" s="1" t="s">
        <v>43</v>
      </c>
      <c r="B91" s="6" t="str">
        <f t="shared" si="3"/>
        <v>08131</v>
      </c>
      <c r="C91" s="1" t="s">
        <v>12</v>
      </c>
      <c r="D91" s="1" t="s">
        <v>44</v>
      </c>
      <c r="E91" s="6" t="str">
        <f>"002"</f>
        <v>002</v>
      </c>
      <c r="F91" s="6">
        <v>2019</v>
      </c>
      <c r="G91" s="7">
        <v>46239400</v>
      </c>
      <c r="H91" s="7">
        <v>4489900</v>
      </c>
      <c r="I91" s="7">
        <v>41749500</v>
      </c>
    </row>
    <row r="92" spans="1:9" x14ac:dyDescent="0.2">
      <c r="A92" s="1" t="s">
        <v>43</v>
      </c>
      <c r="B92" s="6" t="str">
        <f t="shared" si="3"/>
        <v>08131</v>
      </c>
      <c r="C92" s="1" t="s">
        <v>12</v>
      </c>
      <c r="D92" s="1" t="s">
        <v>44</v>
      </c>
      <c r="E92" s="6" t="str">
        <f>"003"</f>
        <v>003</v>
      </c>
      <c r="F92" s="6">
        <v>2020</v>
      </c>
      <c r="G92" s="7">
        <v>12354500</v>
      </c>
      <c r="H92" s="7">
        <v>193500</v>
      </c>
      <c r="I92" s="7">
        <v>12161000</v>
      </c>
    </row>
    <row r="93" spans="1:9" x14ac:dyDescent="0.2">
      <c r="A93" s="1" t="s">
        <v>43</v>
      </c>
      <c r="B93" s="6" t="str">
        <f t="shared" si="3"/>
        <v>08131</v>
      </c>
      <c r="C93" s="1" t="s">
        <v>12</v>
      </c>
      <c r="D93" s="1" t="s">
        <v>44</v>
      </c>
      <c r="E93" s="6" t="str">
        <f>"004"</f>
        <v>004</v>
      </c>
      <c r="F93" s="6">
        <v>2020</v>
      </c>
      <c r="G93" s="7">
        <v>113529800</v>
      </c>
      <c r="H93" s="7">
        <v>423000</v>
      </c>
      <c r="I93" s="7">
        <v>113106800</v>
      </c>
    </row>
    <row r="94" spans="1:9" x14ac:dyDescent="0.2">
      <c r="A94" s="1" t="s">
        <v>43</v>
      </c>
      <c r="B94" s="6" t="str">
        <f t="shared" si="3"/>
        <v>08131</v>
      </c>
      <c r="C94" s="1" t="s">
        <v>12</v>
      </c>
      <c r="D94" s="1" t="s">
        <v>44</v>
      </c>
      <c r="E94" s="6" t="str">
        <f>"005"</f>
        <v>005</v>
      </c>
      <c r="F94" s="6">
        <v>2023</v>
      </c>
      <c r="G94" s="7">
        <v>0</v>
      </c>
      <c r="H94" s="7">
        <v>240800</v>
      </c>
      <c r="I94" s="7">
        <v>-240800</v>
      </c>
    </row>
    <row r="95" spans="1:9" x14ac:dyDescent="0.2">
      <c r="A95" s="1" t="s">
        <v>43</v>
      </c>
      <c r="B95" s="6" t="str">
        <f t="shared" si="3"/>
        <v>08131</v>
      </c>
      <c r="C95" s="1" t="s">
        <v>12</v>
      </c>
      <c r="D95" s="1" t="s">
        <v>44</v>
      </c>
      <c r="E95" s="6" t="str">
        <f>"006"</f>
        <v>006</v>
      </c>
      <c r="F95" s="6">
        <v>2023</v>
      </c>
      <c r="G95" s="7">
        <v>1028800</v>
      </c>
      <c r="H95" s="7">
        <v>562600</v>
      </c>
      <c r="I95" s="7">
        <v>466200</v>
      </c>
    </row>
    <row r="96" spans="1:9" x14ac:dyDescent="0.2">
      <c r="A96" s="1" t="s">
        <v>43</v>
      </c>
      <c r="B96" s="6" t="str">
        <f>"08136"</f>
        <v>08136</v>
      </c>
      <c r="C96" s="1" t="s">
        <v>12</v>
      </c>
      <c r="D96" s="1" t="s">
        <v>45</v>
      </c>
      <c r="E96" s="6" t="str">
        <f>"002"</f>
        <v>002</v>
      </c>
      <c r="F96" s="6">
        <v>2007</v>
      </c>
      <c r="G96" s="7">
        <v>23588800</v>
      </c>
      <c r="H96" s="7">
        <v>2353300</v>
      </c>
      <c r="I96" s="7">
        <v>21235500</v>
      </c>
    </row>
    <row r="97" spans="1:9" x14ac:dyDescent="0.2">
      <c r="A97" s="1" t="s">
        <v>43</v>
      </c>
      <c r="B97" s="6" t="str">
        <f>"08179"</f>
        <v>08179</v>
      </c>
      <c r="C97" s="1" t="s">
        <v>12</v>
      </c>
      <c r="D97" s="1" t="s">
        <v>46</v>
      </c>
      <c r="E97" s="6" t="str">
        <f>"002"</f>
        <v>002</v>
      </c>
      <c r="F97" s="6">
        <v>2013</v>
      </c>
      <c r="G97" s="7">
        <v>6677700</v>
      </c>
      <c r="H97" s="7">
        <v>2827500</v>
      </c>
      <c r="I97" s="7">
        <v>3850200</v>
      </c>
    </row>
    <row r="98" spans="1:9" x14ac:dyDescent="0.2">
      <c r="A98" s="1" t="s">
        <v>43</v>
      </c>
      <c r="B98" s="6" t="str">
        <f>"08179"</f>
        <v>08179</v>
      </c>
      <c r="C98" s="1" t="s">
        <v>12</v>
      </c>
      <c r="D98" s="1" t="s">
        <v>46</v>
      </c>
      <c r="E98" s="6" t="str">
        <f>"003"</f>
        <v>003</v>
      </c>
      <c r="F98" s="6">
        <v>2013</v>
      </c>
      <c r="G98" s="7">
        <v>16843300</v>
      </c>
      <c r="H98" s="7">
        <v>8668600</v>
      </c>
      <c r="I98" s="7">
        <v>8174700</v>
      </c>
    </row>
    <row r="99" spans="1:9" x14ac:dyDescent="0.2">
      <c r="A99" s="1" t="s">
        <v>43</v>
      </c>
      <c r="B99" s="6" t="str">
        <f>"08201"</f>
        <v>08201</v>
      </c>
      <c r="C99" s="1" t="s">
        <v>8</v>
      </c>
      <c r="D99" s="1" t="s">
        <v>47</v>
      </c>
      <c r="E99" s="6" t="str">
        <f>"013"</f>
        <v>013</v>
      </c>
      <c r="F99" s="6">
        <v>2023</v>
      </c>
      <c r="G99" s="7">
        <v>127267100</v>
      </c>
      <c r="H99" s="7">
        <v>70716500</v>
      </c>
      <c r="I99" s="7">
        <v>56550600</v>
      </c>
    </row>
    <row r="100" spans="1:9" x14ac:dyDescent="0.2">
      <c r="A100" s="1" t="s">
        <v>43</v>
      </c>
      <c r="B100" s="6" t="str">
        <f>"08206"</f>
        <v>08206</v>
      </c>
      <c r="C100" s="1" t="s">
        <v>8</v>
      </c>
      <c r="D100" s="1" t="s">
        <v>48</v>
      </c>
      <c r="E100" s="6" t="str">
        <f>"002"</f>
        <v>002</v>
      </c>
      <c r="F100" s="6">
        <v>2006</v>
      </c>
      <c r="G100" s="7">
        <v>7799300</v>
      </c>
      <c r="H100" s="7">
        <v>945900</v>
      </c>
      <c r="I100" s="7">
        <v>6853400</v>
      </c>
    </row>
    <row r="101" spans="1:9" x14ac:dyDescent="0.2">
      <c r="A101" s="1" t="s">
        <v>43</v>
      </c>
      <c r="B101" s="6" t="str">
        <f>"08206"</f>
        <v>08206</v>
      </c>
      <c r="C101" s="1" t="s">
        <v>8</v>
      </c>
      <c r="D101" s="1" t="s">
        <v>48</v>
      </c>
      <c r="E101" s="6" t="str">
        <f>"003"</f>
        <v>003</v>
      </c>
      <c r="F101" s="6">
        <v>2007</v>
      </c>
      <c r="G101" s="7">
        <v>15481600</v>
      </c>
      <c r="H101" s="7">
        <v>127200</v>
      </c>
      <c r="I101" s="7">
        <v>15354400</v>
      </c>
    </row>
    <row r="102" spans="1:9" x14ac:dyDescent="0.2">
      <c r="A102" s="1" t="s">
        <v>43</v>
      </c>
      <c r="B102" s="6" t="str">
        <f>"08206"</f>
        <v>08206</v>
      </c>
      <c r="C102" s="1" t="s">
        <v>8</v>
      </c>
      <c r="D102" s="1" t="s">
        <v>48</v>
      </c>
      <c r="E102" s="6" t="str">
        <f>"004"</f>
        <v>004</v>
      </c>
      <c r="F102" s="6">
        <v>2007</v>
      </c>
      <c r="G102" s="7">
        <v>20546600</v>
      </c>
      <c r="H102" s="7">
        <v>4829100</v>
      </c>
      <c r="I102" s="7">
        <v>15717500</v>
      </c>
    </row>
    <row r="103" spans="1:9" x14ac:dyDescent="0.2">
      <c r="A103" s="1" t="s">
        <v>43</v>
      </c>
      <c r="B103" s="6" t="str">
        <f>"08206"</f>
        <v>08206</v>
      </c>
      <c r="C103" s="1" t="s">
        <v>8</v>
      </c>
      <c r="D103" s="1" t="s">
        <v>48</v>
      </c>
      <c r="E103" s="6" t="str">
        <f>"005E"</f>
        <v>005E</v>
      </c>
      <c r="F103" s="6">
        <v>2018</v>
      </c>
      <c r="G103" s="7">
        <v>14326000</v>
      </c>
      <c r="H103" s="7">
        <v>314601</v>
      </c>
      <c r="I103" s="7">
        <v>14011399</v>
      </c>
    </row>
    <row r="104" spans="1:9" x14ac:dyDescent="0.2">
      <c r="A104" s="1" t="s">
        <v>43</v>
      </c>
      <c r="B104" s="6" t="str">
        <f>"08211"</f>
        <v>08211</v>
      </c>
      <c r="C104" s="1" t="s">
        <v>8</v>
      </c>
      <c r="D104" s="1" t="s">
        <v>49</v>
      </c>
      <c r="E104" s="6" t="str">
        <f>"004"</f>
        <v>004</v>
      </c>
      <c r="F104" s="6">
        <v>2005</v>
      </c>
      <c r="G104" s="7">
        <v>7742200</v>
      </c>
      <c r="H104" s="7">
        <v>2023800</v>
      </c>
      <c r="I104" s="7">
        <v>5718400</v>
      </c>
    </row>
    <row r="105" spans="1:9" x14ac:dyDescent="0.2">
      <c r="A105" s="1" t="s">
        <v>43</v>
      </c>
      <c r="B105" s="6" t="str">
        <f>"08211"</f>
        <v>08211</v>
      </c>
      <c r="C105" s="1" t="s">
        <v>8</v>
      </c>
      <c r="D105" s="1" t="s">
        <v>49</v>
      </c>
      <c r="E105" s="6" t="str">
        <f>"006"</f>
        <v>006</v>
      </c>
      <c r="F105" s="6">
        <v>2017</v>
      </c>
      <c r="G105" s="7">
        <v>30931200</v>
      </c>
      <c r="H105" s="7">
        <v>996400</v>
      </c>
      <c r="I105" s="7">
        <v>29934800</v>
      </c>
    </row>
    <row r="106" spans="1:9" x14ac:dyDescent="0.2">
      <c r="A106" s="1" t="s">
        <v>43</v>
      </c>
      <c r="B106" s="6" t="str">
        <f>"08211"</f>
        <v>08211</v>
      </c>
      <c r="C106" s="1" t="s">
        <v>8</v>
      </c>
      <c r="D106" s="1" t="s">
        <v>49</v>
      </c>
      <c r="E106" s="6" t="str">
        <f>"007"</f>
        <v>007</v>
      </c>
      <c r="F106" s="6">
        <v>2017</v>
      </c>
      <c r="G106" s="7">
        <v>803900</v>
      </c>
      <c r="H106" s="7">
        <v>45800</v>
      </c>
      <c r="I106" s="7">
        <v>758100</v>
      </c>
    </row>
    <row r="107" spans="1:9" x14ac:dyDescent="0.2">
      <c r="A107" s="1" t="s">
        <v>43</v>
      </c>
      <c r="B107" s="6" t="str">
        <f>"08211"</f>
        <v>08211</v>
      </c>
      <c r="C107" s="1" t="s">
        <v>8</v>
      </c>
      <c r="D107" s="1" t="s">
        <v>49</v>
      </c>
      <c r="E107" s="6" t="str">
        <f>"008"</f>
        <v>008</v>
      </c>
      <c r="F107" s="6">
        <v>2020</v>
      </c>
      <c r="G107" s="7">
        <v>6267600</v>
      </c>
      <c r="H107" s="7">
        <v>1404500</v>
      </c>
      <c r="I107" s="7">
        <v>4863100</v>
      </c>
    </row>
    <row r="108" spans="1:9" x14ac:dyDescent="0.2">
      <c r="A108" s="1" t="s">
        <v>43</v>
      </c>
      <c r="B108" s="6" t="str">
        <f>"08211"</f>
        <v>08211</v>
      </c>
      <c r="C108" s="1" t="s">
        <v>8</v>
      </c>
      <c r="D108" s="1" t="s">
        <v>49</v>
      </c>
      <c r="E108" s="6" t="str">
        <f>"009"</f>
        <v>009</v>
      </c>
      <c r="F108" s="6">
        <v>2024</v>
      </c>
      <c r="G108" s="7">
        <v>4664900</v>
      </c>
      <c r="H108" s="7">
        <v>4225500</v>
      </c>
      <c r="I108" s="7">
        <v>439400</v>
      </c>
    </row>
    <row r="109" spans="1:9" x14ac:dyDescent="0.2">
      <c r="A109" s="1" t="s">
        <v>43</v>
      </c>
      <c r="B109" s="6" t="str">
        <f>"08241"</f>
        <v>08241</v>
      </c>
      <c r="C109" s="1" t="s">
        <v>8</v>
      </c>
      <c r="D109" s="1" t="s">
        <v>50</v>
      </c>
      <c r="E109" s="6" t="str">
        <f>"005"</f>
        <v>005</v>
      </c>
      <c r="F109" s="6">
        <v>2014</v>
      </c>
      <c r="G109" s="7">
        <v>31161500</v>
      </c>
      <c r="H109" s="7">
        <v>8445900</v>
      </c>
      <c r="I109" s="7">
        <v>22715600</v>
      </c>
    </row>
    <row r="110" spans="1:9" x14ac:dyDescent="0.2">
      <c r="A110" s="1" t="s">
        <v>43</v>
      </c>
      <c r="B110" s="6" t="str">
        <f>"08251"</f>
        <v>08251</v>
      </c>
      <c r="C110" s="1" t="s">
        <v>8</v>
      </c>
      <c r="D110" s="1" t="s">
        <v>51</v>
      </c>
      <c r="E110" s="6" t="str">
        <f>"012"</f>
        <v>012</v>
      </c>
      <c r="F110" s="6">
        <v>2011</v>
      </c>
      <c r="G110" s="7">
        <v>127117800</v>
      </c>
      <c r="H110" s="7">
        <v>21715600</v>
      </c>
      <c r="I110" s="7">
        <v>105402200</v>
      </c>
    </row>
    <row r="111" spans="1:9" x14ac:dyDescent="0.2">
      <c r="A111" s="1" t="s">
        <v>43</v>
      </c>
      <c r="B111" s="6" t="str">
        <f>"08261"</f>
        <v>08261</v>
      </c>
      <c r="C111" s="1" t="s">
        <v>8</v>
      </c>
      <c r="D111" s="1" t="s">
        <v>52</v>
      </c>
      <c r="E111" s="6" t="str">
        <f>"004"</f>
        <v>004</v>
      </c>
      <c r="F111" s="6">
        <v>2018</v>
      </c>
      <c r="G111" s="7">
        <v>21873000</v>
      </c>
      <c r="H111" s="7">
        <v>13229100</v>
      </c>
      <c r="I111" s="7">
        <v>8643900</v>
      </c>
    </row>
    <row r="112" spans="1:9" x14ac:dyDescent="0.2">
      <c r="A112" s="1" t="s">
        <v>43</v>
      </c>
      <c r="B112" s="6" t="str">
        <f>"08261"</f>
        <v>08261</v>
      </c>
      <c r="C112" s="1" t="s">
        <v>8</v>
      </c>
      <c r="D112" s="1" t="s">
        <v>52</v>
      </c>
      <c r="E112" s="6" t="str">
        <f>"005"</f>
        <v>005</v>
      </c>
      <c r="F112" s="6">
        <v>2018</v>
      </c>
      <c r="G112" s="7">
        <v>2489700</v>
      </c>
      <c r="H112" s="7">
        <v>1286900</v>
      </c>
      <c r="I112" s="7">
        <v>1202800</v>
      </c>
    </row>
    <row r="113" spans="1:9" x14ac:dyDescent="0.2">
      <c r="A113" s="1" t="s">
        <v>43</v>
      </c>
      <c r="B113" s="6" t="str">
        <f>"08261"</f>
        <v>08261</v>
      </c>
      <c r="C113" s="1" t="s">
        <v>8</v>
      </c>
      <c r="D113" s="1" t="s">
        <v>52</v>
      </c>
      <c r="E113" s="6" t="str">
        <f>"006E"</f>
        <v>006E</v>
      </c>
      <c r="F113" s="6">
        <v>2019</v>
      </c>
      <c r="G113" s="7">
        <v>3244800</v>
      </c>
      <c r="H113" s="7">
        <v>1</v>
      </c>
      <c r="I113" s="7">
        <v>3244799</v>
      </c>
    </row>
    <row r="114" spans="1:9" x14ac:dyDescent="0.2">
      <c r="A114" s="1" t="s">
        <v>53</v>
      </c>
      <c r="B114" s="6" t="str">
        <f>"09111"</f>
        <v>09111</v>
      </c>
      <c r="C114" s="1" t="s">
        <v>12</v>
      </c>
      <c r="D114" s="1" t="s">
        <v>54</v>
      </c>
      <c r="E114" s="6" t="str">
        <f>"004"</f>
        <v>004</v>
      </c>
      <c r="F114" s="6">
        <v>2013</v>
      </c>
      <c r="G114" s="7">
        <v>6877700</v>
      </c>
      <c r="H114" s="7">
        <v>2096200</v>
      </c>
      <c r="I114" s="7">
        <v>4781500</v>
      </c>
    </row>
    <row r="115" spans="1:9" x14ac:dyDescent="0.2">
      <c r="A115" s="1" t="s">
        <v>53</v>
      </c>
      <c r="B115" s="6" t="str">
        <f>"09111"</f>
        <v>09111</v>
      </c>
      <c r="C115" s="1" t="s">
        <v>12</v>
      </c>
      <c r="D115" s="1" t="s">
        <v>54</v>
      </c>
      <c r="E115" s="6" t="str">
        <f>"005"</f>
        <v>005</v>
      </c>
      <c r="F115" s="6">
        <v>2019</v>
      </c>
      <c r="G115" s="7">
        <v>13001500</v>
      </c>
      <c r="H115" s="7">
        <v>5794000</v>
      </c>
      <c r="I115" s="7">
        <v>7207500</v>
      </c>
    </row>
    <row r="116" spans="1:9" x14ac:dyDescent="0.2">
      <c r="A116" s="1" t="s">
        <v>53</v>
      </c>
      <c r="B116" s="6" t="str">
        <f>"09128"</f>
        <v>09128</v>
      </c>
      <c r="C116" s="1" t="s">
        <v>12</v>
      </c>
      <c r="D116" s="1" t="s">
        <v>55</v>
      </c>
      <c r="E116" s="6" t="str">
        <f>"001"</f>
        <v>001</v>
      </c>
      <c r="F116" s="6">
        <v>2003</v>
      </c>
      <c r="G116" s="7">
        <v>172047100</v>
      </c>
      <c r="H116" s="7">
        <v>12138900</v>
      </c>
      <c r="I116" s="7">
        <v>159908200</v>
      </c>
    </row>
    <row r="117" spans="1:9" x14ac:dyDescent="0.2">
      <c r="A117" s="1" t="s">
        <v>53</v>
      </c>
      <c r="B117" s="6" t="str">
        <f>"09128"</f>
        <v>09128</v>
      </c>
      <c r="C117" s="1" t="s">
        <v>12</v>
      </c>
      <c r="D117" s="1" t="s">
        <v>55</v>
      </c>
      <c r="E117" s="6" t="str">
        <f>"002"</f>
        <v>002</v>
      </c>
      <c r="F117" s="6">
        <v>2003</v>
      </c>
      <c r="G117" s="7">
        <v>34895000</v>
      </c>
      <c r="H117" s="7">
        <v>131900</v>
      </c>
      <c r="I117" s="7">
        <v>34763100</v>
      </c>
    </row>
    <row r="118" spans="1:9" x14ac:dyDescent="0.2">
      <c r="A118" s="1" t="s">
        <v>53</v>
      </c>
      <c r="B118" s="6" t="str">
        <f>"09161"</f>
        <v>09161</v>
      </c>
      <c r="C118" s="1" t="s">
        <v>12</v>
      </c>
      <c r="D118" s="1" t="s">
        <v>56</v>
      </c>
      <c r="E118" s="6" t="str">
        <f>"001"</f>
        <v>001</v>
      </c>
      <c r="F118" s="6">
        <v>2008</v>
      </c>
      <c r="G118" s="7">
        <v>283700</v>
      </c>
      <c r="H118" s="7">
        <v>283700</v>
      </c>
      <c r="I118" s="7">
        <v>0</v>
      </c>
    </row>
    <row r="119" spans="1:9" x14ac:dyDescent="0.2">
      <c r="A119" s="1" t="s">
        <v>53</v>
      </c>
      <c r="B119" s="6" t="str">
        <f>"09206"</f>
        <v>09206</v>
      </c>
      <c r="C119" s="1" t="s">
        <v>8</v>
      </c>
      <c r="D119" s="1" t="s">
        <v>57</v>
      </c>
      <c r="E119" s="6" t="str">
        <f>"004"</f>
        <v>004</v>
      </c>
      <c r="F119" s="6">
        <v>2005</v>
      </c>
      <c r="G119" s="7">
        <v>58447000</v>
      </c>
      <c r="H119" s="7">
        <v>3787400</v>
      </c>
      <c r="I119" s="7">
        <v>54659600</v>
      </c>
    </row>
    <row r="120" spans="1:9" x14ac:dyDescent="0.2">
      <c r="A120" s="1" t="s">
        <v>53</v>
      </c>
      <c r="B120" s="6" t="str">
        <f t="shared" ref="B120:B128" si="4">"09211"</f>
        <v>09211</v>
      </c>
      <c r="C120" s="1" t="s">
        <v>8</v>
      </c>
      <c r="D120" s="1" t="s">
        <v>58</v>
      </c>
      <c r="E120" s="6" t="str">
        <f>"007"</f>
        <v>007</v>
      </c>
      <c r="F120" s="6">
        <v>2001</v>
      </c>
      <c r="G120" s="7">
        <v>11412800</v>
      </c>
      <c r="H120" s="7">
        <v>1417800</v>
      </c>
      <c r="I120" s="7">
        <v>9995000</v>
      </c>
    </row>
    <row r="121" spans="1:9" x14ac:dyDescent="0.2">
      <c r="A121" s="1" t="s">
        <v>53</v>
      </c>
      <c r="B121" s="6" t="str">
        <f t="shared" si="4"/>
        <v>09211</v>
      </c>
      <c r="C121" s="1" t="s">
        <v>8</v>
      </c>
      <c r="D121" s="1" t="s">
        <v>58</v>
      </c>
      <c r="E121" s="6" t="str">
        <f>"008"</f>
        <v>008</v>
      </c>
      <c r="F121" s="6">
        <v>2002</v>
      </c>
      <c r="G121" s="7">
        <v>4260900</v>
      </c>
      <c r="H121" s="7">
        <v>437100</v>
      </c>
      <c r="I121" s="7">
        <v>3823800</v>
      </c>
    </row>
    <row r="122" spans="1:9" x14ac:dyDescent="0.2">
      <c r="A122" s="1" t="s">
        <v>53</v>
      </c>
      <c r="B122" s="6" t="str">
        <f t="shared" si="4"/>
        <v>09211</v>
      </c>
      <c r="C122" s="1" t="s">
        <v>8</v>
      </c>
      <c r="D122" s="1" t="s">
        <v>58</v>
      </c>
      <c r="E122" s="6" t="str">
        <f>"010"</f>
        <v>010</v>
      </c>
      <c r="F122" s="6">
        <v>2005</v>
      </c>
      <c r="G122" s="7">
        <v>8913800</v>
      </c>
      <c r="H122" s="7">
        <v>0</v>
      </c>
      <c r="I122" s="7">
        <v>8913800</v>
      </c>
    </row>
    <row r="123" spans="1:9" x14ac:dyDescent="0.2">
      <c r="A123" s="1" t="s">
        <v>53</v>
      </c>
      <c r="B123" s="6" t="str">
        <f t="shared" si="4"/>
        <v>09211</v>
      </c>
      <c r="C123" s="1" t="s">
        <v>8</v>
      </c>
      <c r="D123" s="1" t="s">
        <v>58</v>
      </c>
      <c r="E123" s="6" t="str">
        <f>"011"</f>
        <v>011</v>
      </c>
      <c r="F123" s="6">
        <v>2008</v>
      </c>
      <c r="G123" s="7">
        <v>10007200</v>
      </c>
      <c r="H123" s="7">
        <v>79500</v>
      </c>
      <c r="I123" s="7">
        <v>9927700</v>
      </c>
    </row>
    <row r="124" spans="1:9" x14ac:dyDescent="0.2">
      <c r="A124" s="1" t="s">
        <v>53</v>
      </c>
      <c r="B124" s="6" t="str">
        <f t="shared" si="4"/>
        <v>09211</v>
      </c>
      <c r="C124" s="1" t="s">
        <v>8</v>
      </c>
      <c r="D124" s="1" t="s">
        <v>58</v>
      </c>
      <c r="E124" s="6" t="str">
        <f>"012"</f>
        <v>012</v>
      </c>
      <c r="F124" s="6">
        <v>2012</v>
      </c>
      <c r="G124" s="7">
        <v>32823800</v>
      </c>
      <c r="H124" s="7">
        <v>5137600</v>
      </c>
      <c r="I124" s="7">
        <v>27686200</v>
      </c>
    </row>
    <row r="125" spans="1:9" x14ac:dyDescent="0.2">
      <c r="A125" s="1" t="s">
        <v>53</v>
      </c>
      <c r="B125" s="6" t="str">
        <f t="shared" si="4"/>
        <v>09211</v>
      </c>
      <c r="C125" s="1" t="s">
        <v>8</v>
      </c>
      <c r="D125" s="1" t="s">
        <v>58</v>
      </c>
      <c r="E125" s="6" t="str">
        <f>"013"</f>
        <v>013</v>
      </c>
      <c r="F125" s="6">
        <v>2015</v>
      </c>
      <c r="G125" s="7">
        <v>12949300</v>
      </c>
      <c r="H125" s="7">
        <v>3476500</v>
      </c>
      <c r="I125" s="7">
        <v>9472800</v>
      </c>
    </row>
    <row r="126" spans="1:9" x14ac:dyDescent="0.2">
      <c r="A126" s="1" t="s">
        <v>53</v>
      </c>
      <c r="B126" s="6" t="str">
        <f t="shared" si="4"/>
        <v>09211</v>
      </c>
      <c r="C126" s="1" t="s">
        <v>8</v>
      </c>
      <c r="D126" s="1" t="s">
        <v>58</v>
      </c>
      <c r="E126" s="6" t="str">
        <f>"014"</f>
        <v>014</v>
      </c>
      <c r="F126" s="6">
        <v>2015</v>
      </c>
      <c r="G126" s="7">
        <v>151951000</v>
      </c>
      <c r="H126" s="7">
        <v>0</v>
      </c>
      <c r="I126" s="7">
        <v>151951000</v>
      </c>
    </row>
    <row r="127" spans="1:9" x14ac:dyDescent="0.2">
      <c r="A127" s="1" t="s">
        <v>53</v>
      </c>
      <c r="B127" s="6" t="str">
        <f t="shared" si="4"/>
        <v>09211</v>
      </c>
      <c r="C127" s="1" t="s">
        <v>8</v>
      </c>
      <c r="D127" s="1" t="s">
        <v>58</v>
      </c>
      <c r="E127" s="6" t="str">
        <f>"015"</f>
        <v>015</v>
      </c>
      <c r="F127" s="6">
        <v>2018</v>
      </c>
      <c r="G127" s="7">
        <v>3232300</v>
      </c>
      <c r="H127" s="7">
        <v>1810700</v>
      </c>
      <c r="I127" s="7">
        <v>1421600</v>
      </c>
    </row>
    <row r="128" spans="1:9" x14ac:dyDescent="0.2">
      <c r="A128" s="1" t="s">
        <v>53</v>
      </c>
      <c r="B128" s="6" t="str">
        <f t="shared" si="4"/>
        <v>09211</v>
      </c>
      <c r="C128" s="1" t="s">
        <v>8</v>
      </c>
      <c r="D128" s="1" t="s">
        <v>58</v>
      </c>
      <c r="E128" s="6" t="str">
        <f>"016"</f>
        <v>016</v>
      </c>
      <c r="F128" s="6">
        <v>2022</v>
      </c>
      <c r="G128" s="7">
        <v>51798600</v>
      </c>
      <c r="H128" s="7">
        <v>9306800</v>
      </c>
      <c r="I128" s="7">
        <v>42491800</v>
      </c>
    </row>
    <row r="129" spans="1:9" x14ac:dyDescent="0.2">
      <c r="A129" s="1" t="s">
        <v>53</v>
      </c>
      <c r="B129" s="6" t="str">
        <f>"09221"</f>
        <v>09221</v>
      </c>
      <c r="C129" s="1" t="s">
        <v>8</v>
      </c>
      <c r="D129" s="1" t="s">
        <v>59</v>
      </c>
      <c r="E129" s="6" t="str">
        <f>"009"</f>
        <v>009</v>
      </c>
      <c r="F129" s="6">
        <v>2008</v>
      </c>
      <c r="G129" s="7">
        <v>38300</v>
      </c>
      <c r="H129" s="7">
        <v>54500</v>
      </c>
      <c r="I129" s="7">
        <v>-16200</v>
      </c>
    </row>
    <row r="130" spans="1:9" x14ac:dyDescent="0.2">
      <c r="A130" s="1" t="s">
        <v>53</v>
      </c>
      <c r="B130" s="6" t="str">
        <f>"09221"</f>
        <v>09221</v>
      </c>
      <c r="C130" s="1" t="s">
        <v>8</v>
      </c>
      <c r="D130" s="1" t="s">
        <v>59</v>
      </c>
      <c r="E130" s="6" t="str">
        <f>"015"</f>
        <v>015</v>
      </c>
      <c r="F130" s="6">
        <v>2022</v>
      </c>
      <c r="G130" s="7">
        <v>17635300</v>
      </c>
      <c r="H130" s="7">
        <v>171600</v>
      </c>
      <c r="I130" s="7">
        <v>17463700</v>
      </c>
    </row>
    <row r="131" spans="1:9" x14ac:dyDescent="0.2">
      <c r="A131" s="1" t="s">
        <v>53</v>
      </c>
      <c r="B131" s="6" t="str">
        <f>"09281"</f>
        <v>09281</v>
      </c>
      <c r="C131" s="1" t="s">
        <v>8</v>
      </c>
      <c r="D131" s="1" t="s">
        <v>60</v>
      </c>
      <c r="E131" s="6" t="str">
        <f>"003"</f>
        <v>003</v>
      </c>
      <c r="F131" s="6">
        <v>2001</v>
      </c>
      <c r="G131" s="7">
        <v>35546000</v>
      </c>
      <c r="H131" s="7">
        <v>4086000</v>
      </c>
      <c r="I131" s="7">
        <v>31460000</v>
      </c>
    </row>
    <row r="132" spans="1:9" x14ac:dyDescent="0.2">
      <c r="A132" s="1" t="s">
        <v>61</v>
      </c>
      <c r="B132" s="6" t="str">
        <f>"10131"</f>
        <v>10131</v>
      </c>
      <c r="C132" s="1" t="s">
        <v>12</v>
      </c>
      <c r="D132" s="1" t="s">
        <v>62</v>
      </c>
      <c r="E132" s="6" t="str">
        <f>"001"</f>
        <v>001</v>
      </c>
      <c r="F132" s="6">
        <v>2009</v>
      </c>
      <c r="G132" s="7">
        <v>3472800</v>
      </c>
      <c r="H132" s="7">
        <v>1363000</v>
      </c>
      <c r="I132" s="7">
        <v>2109800</v>
      </c>
    </row>
    <row r="133" spans="1:9" x14ac:dyDescent="0.2">
      <c r="A133" s="1" t="s">
        <v>61</v>
      </c>
      <c r="B133" s="6" t="str">
        <f>"10186"</f>
        <v>10186</v>
      </c>
      <c r="C133" s="1" t="s">
        <v>12</v>
      </c>
      <c r="D133" s="1" t="s">
        <v>63</v>
      </c>
      <c r="E133" s="6" t="str">
        <f>"001"</f>
        <v>001</v>
      </c>
      <c r="F133" s="6">
        <v>1998</v>
      </c>
      <c r="G133" s="7">
        <v>1786000</v>
      </c>
      <c r="H133" s="7">
        <v>119500</v>
      </c>
      <c r="I133" s="7">
        <v>1666500</v>
      </c>
    </row>
    <row r="134" spans="1:9" x14ac:dyDescent="0.2">
      <c r="A134" s="1" t="s">
        <v>61</v>
      </c>
      <c r="B134" s="6" t="str">
        <f>"10191"</f>
        <v>10191</v>
      </c>
      <c r="C134" s="1" t="s">
        <v>12</v>
      </c>
      <c r="D134" s="1" t="s">
        <v>64</v>
      </c>
      <c r="E134" s="6" t="str">
        <f>"002"</f>
        <v>002</v>
      </c>
      <c r="F134" s="6">
        <v>2010</v>
      </c>
      <c r="G134" s="7">
        <v>1515800</v>
      </c>
      <c r="H134" s="7">
        <v>428700</v>
      </c>
      <c r="I134" s="7">
        <v>1087100</v>
      </c>
    </row>
    <row r="135" spans="1:9" x14ac:dyDescent="0.2">
      <c r="A135" s="1" t="s">
        <v>61</v>
      </c>
      <c r="B135" s="6" t="str">
        <f>"10191"</f>
        <v>10191</v>
      </c>
      <c r="C135" s="1" t="s">
        <v>12</v>
      </c>
      <c r="D135" s="1" t="s">
        <v>64</v>
      </c>
      <c r="E135" s="6" t="str">
        <f>"003"</f>
        <v>003</v>
      </c>
      <c r="F135" s="6">
        <v>2012</v>
      </c>
      <c r="G135" s="7">
        <v>1682000</v>
      </c>
      <c r="H135" s="7">
        <v>262800</v>
      </c>
      <c r="I135" s="7">
        <v>1419200</v>
      </c>
    </row>
    <row r="136" spans="1:9" x14ac:dyDescent="0.2">
      <c r="A136" s="1" t="s">
        <v>61</v>
      </c>
      <c r="B136" s="6" t="str">
        <f>"10201"</f>
        <v>10201</v>
      </c>
      <c r="C136" s="1" t="s">
        <v>8</v>
      </c>
      <c r="D136" s="1" t="s">
        <v>65</v>
      </c>
      <c r="E136" s="6" t="str">
        <f>"005"</f>
        <v>005</v>
      </c>
      <c r="F136" s="6">
        <v>2008</v>
      </c>
      <c r="G136" s="7">
        <v>2116800</v>
      </c>
      <c r="H136" s="7">
        <v>458800</v>
      </c>
      <c r="I136" s="7">
        <v>1658000</v>
      </c>
    </row>
    <row r="137" spans="1:9" x14ac:dyDescent="0.2">
      <c r="A137" s="1" t="s">
        <v>61</v>
      </c>
      <c r="B137" s="6" t="str">
        <f>"10201"</f>
        <v>10201</v>
      </c>
      <c r="C137" s="1" t="s">
        <v>8</v>
      </c>
      <c r="D137" s="1" t="s">
        <v>65</v>
      </c>
      <c r="E137" s="6" t="str">
        <f>"006"</f>
        <v>006</v>
      </c>
      <c r="F137" s="6">
        <v>2016</v>
      </c>
      <c r="G137" s="7">
        <v>38271600</v>
      </c>
      <c r="H137" s="7">
        <v>2301900</v>
      </c>
      <c r="I137" s="7">
        <v>35969700</v>
      </c>
    </row>
    <row r="138" spans="1:9" x14ac:dyDescent="0.2">
      <c r="A138" s="1" t="s">
        <v>61</v>
      </c>
      <c r="B138" s="6" t="str">
        <f>"10201"</f>
        <v>10201</v>
      </c>
      <c r="C138" s="1" t="s">
        <v>8</v>
      </c>
      <c r="D138" s="1" t="s">
        <v>65</v>
      </c>
      <c r="E138" s="6" t="str">
        <f>"007"</f>
        <v>007</v>
      </c>
      <c r="F138" s="6">
        <v>2016</v>
      </c>
      <c r="G138" s="7">
        <v>2081900</v>
      </c>
      <c r="H138" s="7">
        <v>1267400</v>
      </c>
      <c r="I138" s="7">
        <v>814500</v>
      </c>
    </row>
    <row r="139" spans="1:9" x14ac:dyDescent="0.2">
      <c r="A139" s="1" t="s">
        <v>61</v>
      </c>
      <c r="B139" s="6" t="str">
        <f>"10211"</f>
        <v>10211</v>
      </c>
      <c r="C139" s="1" t="s">
        <v>8</v>
      </c>
      <c r="D139" s="1" t="s">
        <v>66</v>
      </c>
      <c r="E139" s="6" t="str">
        <f>"004"</f>
        <v>004</v>
      </c>
      <c r="F139" s="6">
        <v>2022</v>
      </c>
      <c r="G139" s="7">
        <v>4681800</v>
      </c>
      <c r="H139" s="7">
        <v>3180800</v>
      </c>
      <c r="I139" s="7">
        <v>1501000</v>
      </c>
    </row>
    <row r="140" spans="1:9" x14ac:dyDescent="0.2">
      <c r="A140" s="1" t="s">
        <v>61</v>
      </c>
      <c r="B140" s="6" t="str">
        <f>"10231"</f>
        <v>10231</v>
      </c>
      <c r="C140" s="1" t="s">
        <v>8</v>
      </c>
      <c r="D140" s="1" t="s">
        <v>67</v>
      </c>
      <c r="E140" s="6" t="str">
        <f>"003"</f>
        <v>003</v>
      </c>
      <c r="F140" s="6">
        <v>2019</v>
      </c>
      <c r="G140" s="7">
        <v>7102700</v>
      </c>
      <c r="H140" s="7">
        <v>394700</v>
      </c>
      <c r="I140" s="7">
        <v>6708000</v>
      </c>
    </row>
    <row r="141" spans="1:9" x14ac:dyDescent="0.2">
      <c r="A141" s="1" t="s">
        <v>61</v>
      </c>
      <c r="B141" s="6" t="str">
        <f>"10261"</f>
        <v>10261</v>
      </c>
      <c r="C141" s="1" t="s">
        <v>8</v>
      </c>
      <c r="D141" s="1" t="s">
        <v>68</v>
      </c>
      <c r="E141" s="6" t="str">
        <f>"003"</f>
        <v>003</v>
      </c>
      <c r="F141" s="6">
        <v>2006</v>
      </c>
      <c r="G141" s="7">
        <v>4236600</v>
      </c>
      <c r="H141" s="7">
        <v>304800</v>
      </c>
      <c r="I141" s="7">
        <v>3931800</v>
      </c>
    </row>
    <row r="142" spans="1:9" x14ac:dyDescent="0.2">
      <c r="A142" s="1" t="s">
        <v>61</v>
      </c>
      <c r="B142" s="6" t="str">
        <f>"10261"</f>
        <v>10261</v>
      </c>
      <c r="C142" s="1" t="s">
        <v>8</v>
      </c>
      <c r="D142" s="1" t="s">
        <v>68</v>
      </c>
      <c r="E142" s="6" t="str">
        <f>"004"</f>
        <v>004</v>
      </c>
      <c r="F142" s="6">
        <v>2021</v>
      </c>
      <c r="G142" s="7">
        <v>14707400</v>
      </c>
      <c r="H142" s="7">
        <v>6331600</v>
      </c>
      <c r="I142" s="7">
        <v>8375800</v>
      </c>
    </row>
    <row r="143" spans="1:9" x14ac:dyDescent="0.2">
      <c r="A143" s="1" t="s">
        <v>61</v>
      </c>
      <c r="B143" s="6" t="str">
        <f>"10265"</f>
        <v>10265</v>
      </c>
      <c r="C143" s="1" t="s">
        <v>8</v>
      </c>
      <c r="D143" s="1" t="s">
        <v>69</v>
      </c>
      <c r="E143" s="6" t="str">
        <f>"003"</f>
        <v>003</v>
      </c>
      <c r="F143" s="6">
        <v>1996</v>
      </c>
      <c r="G143" s="7">
        <v>2292100</v>
      </c>
      <c r="H143" s="7">
        <v>6100</v>
      </c>
      <c r="I143" s="7">
        <v>2286000</v>
      </c>
    </row>
    <row r="144" spans="1:9" x14ac:dyDescent="0.2">
      <c r="A144" s="1" t="s">
        <v>61</v>
      </c>
      <c r="B144" s="6" t="str">
        <f>"10265"</f>
        <v>10265</v>
      </c>
      <c r="C144" s="1" t="s">
        <v>8</v>
      </c>
      <c r="D144" s="1" t="s">
        <v>69</v>
      </c>
      <c r="E144" s="6" t="str">
        <f>"004"</f>
        <v>004</v>
      </c>
      <c r="F144" s="6">
        <v>2004</v>
      </c>
      <c r="G144" s="7">
        <v>21065400</v>
      </c>
      <c r="H144" s="7">
        <v>2268400</v>
      </c>
      <c r="I144" s="7">
        <v>18797000</v>
      </c>
    </row>
    <row r="145" spans="1:9" x14ac:dyDescent="0.2">
      <c r="A145" s="1" t="s">
        <v>61</v>
      </c>
      <c r="B145" s="6" t="str">
        <f>"10286"</f>
        <v>10286</v>
      </c>
      <c r="C145" s="1" t="s">
        <v>8</v>
      </c>
      <c r="D145" s="1" t="s">
        <v>70</v>
      </c>
      <c r="E145" s="6" t="str">
        <f>"007"</f>
        <v>007</v>
      </c>
      <c r="F145" s="6">
        <v>2022</v>
      </c>
      <c r="G145" s="7">
        <v>4698500</v>
      </c>
      <c r="H145" s="7">
        <v>3607800</v>
      </c>
      <c r="I145" s="7">
        <v>1090700</v>
      </c>
    </row>
    <row r="146" spans="1:9" x14ac:dyDescent="0.2">
      <c r="A146" s="1" t="s">
        <v>71</v>
      </c>
      <c r="B146" s="6" t="str">
        <f>"11101"</f>
        <v>11101</v>
      </c>
      <c r="C146" s="1" t="s">
        <v>12</v>
      </c>
      <c r="D146" s="1" t="s">
        <v>72</v>
      </c>
      <c r="E146" s="6" t="str">
        <f>"001"</f>
        <v>001</v>
      </c>
      <c r="F146" s="6">
        <v>1999</v>
      </c>
      <c r="G146" s="7">
        <v>18254500</v>
      </c>
      <c r="H146" s="7">
        <v>2502900</v>
      </c>
      <c r="I146" s="7">
        <v>15751600</v>
      </c>
    </row>
    <row r="147" spans="1:9" x14ac:dyDescent="0.2">
      <c r="A147" s="1" t="s">
        <v>71</v>
      </c>
      <c r="B147" s="6" t="str">
        <f>"11101"</f>
        <v>11101</v>
      </c>
      <c r="C147" s="1" t="s">
        <v>12</v>
      </c>
      <c r="D147" s="1" t="s">
        <v>72</v>
      </c>
      <c r="E147" s="6" t="str">
        <f>"003"</f>
        <v>003</v>
      </c>
      <c r="F147" s="6">
        <v>2024</v>
      </c>
      <c r="G147" s="7">
        <v>4862000</v>
      </c>
      <c r="H147" s="7">
        <v>1203800</v>
      </c>
      <c r="I147" s="7">
        <v>3658200</v>
      </c>
    </row>
    <row r="148" spans="1:9" x14ac:dyDescent="0.2">
      <c r="A148" s="1" t="s">
        <v>71</v>
      </c>
      <c r="B148" s="6" t="str">
        <f>"11126"</f>
        <v>11126</v>
      </c>
      <c r="C148" s="1" t="s">
        <v>12</v>
      </c>
      <c r="D148" s="1" t="s">
        <v>73</v>
      </c>
      <c r="E148" s="6" t="str">
        <f>"005"</f>
        <v>005</v>
      </c>
      <c r="F148" s="6">
        <v>2020</v>
      </c>
      <c r="G148" s="7">
        <v>36818100</v>
      </c>
      <c r="H148" s="7">
        <v>21693100</v>
      </c>
      <c r="I148" s="7">
        <v>15125000</v>
      </c>
    </row>
    <row r="149" spans="1:9" x14ac:dyDescent="0.2">
      <c r="A149" s="1" t="s">
        <v>71</v>
      </c>
      <c r="B149" s="6" t="str">
        <f>"11171"</f>
        <v>11171</v>
      </c>
      <c r="C149" s="1" t="s">
        <v>12</v>
      </c>
      <c r="D149" s="1" t="s">
        <v>74</v>
      </c>
      <c r="E149" s="6" t="str">
        <f>"002"</f>
        <v>002</v>
      </c>
      <c r="F149" s="6">
        <v>2021</v>
      </c>
      <c r="G149" s="7">
        <v>38172700</v>
      </c>
      <c r="H149" s="7">
        <v>17676500</v>
      </c>
      <c r="I149" s="7">
        <v>20496200</v>
      </c>
    </row>
    <row r="150" spans="1:9" x14ac:dyDescent="0.2">
      <c r="A150" s="1" t="s">
        <v>71</v>
      </c>
      <c r="B150" s="6" t="str">
        <f>"11172"</f>
        <v>11172</v>
      </c>
      <c r="C150" s="1" t="s">
        <v>12</v>
      </c>
      <c r="D150" s="1" t="s">
        <v>75</v>
      </c>
      <c r="E150" s="6" t="str">
        <f>"004"</f>
        <v>004</v>
      </c>
      <c r="F150" s="6">
        <v>2023</v>
      </c>
      <c r="G150" s="7">
        <v>52347700</v>
      </c>
      <c r="H150" s="7">
        <v>29180700</v>
      </c>
      <c r="I150" s="7">
        <v>23167000</v>
      </c>
    </row>
    <row r="151" spans="1:9" x14ac:dyDescent="0.2">
      <c r="A151" s="1" t="s">
        <v>71</v>
      </c>
      <c r="B151" s="6" t="str">
        <f>"11176"</f>
        <v>11176</v>
      </c>
      <c r="C151" s="1" t="s">
        <v>12</v>
      </c>
      <c r="D151" s="1" t="s">
        <v>76</v>
      </c>
      <c r="E151" s="6" t="str">
        <f>"003"</f>
        <v>003</v>
      </c>
      <c r="F151" s="6">
        <v>2024</v>
      </c>
      <c r="G151" s="7">
        <v>1175700</v>
      </c>
      <c r="H151" s="7">
        <v>1207600</v>
      </c>
      <c r="I151" s="7">
        <v>-31900</v>
      </c>
    </row>
    <row r="152" spans="1:9" x14ac:dyDescent="0.2">
      <c r="A152" s="1" t="s">
        <v>71</v>
      </c>
      <c r="B152" s="6" t="str">
        <f>"11211"</f>
        <v>11211</v>
      </c>
      <c r="C152" s="1" t="s">
        <v>8</v>
      </c>
      <c r="D152" s="1" t="s">
        <v>77</v>
      </c>
      <c r="E152" s="6" t="str">
        <f>"004"</f>
        <v>004</v>
      </c>
      <c r="F152" s="6">
        <v>2015</v>
      </c>
      <c r="G152" s="7">
        <v>23745000</v>
      </c>
      <c r="H152" s="7">
        <v>2995500</v>
      </c>
      <c r="I152" s="7">
        <v>20749500</v>
      </c>
    </row>
    <row r="153" spans="1:9" x14ac:dyDescent="0.2">
      <c r="A153" s="1" t="s">
        <v>71</v>
      </c>
      <c r="B153" s="6" t="str">
        <f>"11211"</f>
        <v>11211</v>
      </c>
      <c r="C153" s="1" t="s">
        <v>8</v>
      </c>
      <c r="D153" s="1" t="s">
        <v>77</v>
      </c>
      <c r="E153" s="6" t="str">
        <f>"005"</f>
        <v>005</v>
      </c>
      <c r="F153" s="6">
        <v>2019</v>
      </c>
      <c r="G153" s="7">
        <v>6339000</v>
      </c>
      <c r="H153" s="7">
        <v>4506000</v>
      </c>
      <c r="I153" s="7">
        <v>1833000</v>
      </c>
    </row>
    <row r="154" spans="1:9" x14ac:dyDescent="0.2">
      <c r="A154" s="1" t="s">
        <v>71</v>
      </c>
      <c r="B154" s="6" t="str">
        <f>"11211"</f>
        <v>11211</v>
      </c>
      <c r="C154" s="1" t="s">
        <v>8</v>
      </c>
      <c r="D154" s="1" t="s">
        <v>77</v>
      </c>
      <c r="E154" s="6" t="str">
        <f>"006"</f>
        <v>006</v>
      </c>
      <c r="F154" s="6">
        <v>2021</v>
      </c>
      <c r="G154" s="7">
        <v>23976900</v>
      </c>
      <c r="H154" s="7">
        <v>14041700</v>
      </c>
      <c r="I154" s="7">
        <v>9935200</v>
      </c>
    </row>
    <row r="155" spans="1:9" x14ac:dyDescent="0.2">
      <c r="A155" s="1" t="s">
        <v>71</v>
      </c>
      <c r="B155" s="6" t="str">
        <f>"11211"</f>
        <v>11211</v>
      </c>
      <c r="C155" s="1" t="s">
        <v>8</v>
      </c>
      <c r="D155" s="1" t="s">
        <v>77</v>
      </c>
      <c r="E155" s="6" t="str">
        <f>"007"</f>
        <v>007</v>
      </c>
      <c r="F155" s="6">
        <v>2024</v>
      </c>
      <c r="G155" s="7">
        <v>4865900</v>
      </c>
      <c r="H155" s="7">
        <v>3963700</v>
      </c>
      <c r="I155" s="7">
        <v>902200</v>
      </c>
    </row>
    <row r="156" spans="1:9" x14ac:dyDescent="0.2">
      <c r="A156" s="1" t="s">
        <v>71</v>
      </c>
      <c r="B156" s="6" t="str">
        <f>"11246"</f>
        <v>11246</v>
      </c>
      <c r="C156" s="1" t="s">
        <v>8</v>
      </c>
      <c r="D156" s="1" t="s">
        <v>78</v>
      </c>
      <c r="E156" s="6" t="str">
        <f>"003"</f>
        <v>003</v>
      </c>
      <c r="F156" s="6">
        <v>2005</v>
      </c>
      <c r="G156" s="7">
        <v>1278800</v>
      </c>
      <c r="H156" s="7">
        <v>161000</v>
      </c>
      <c r="I156" s="7">
        <v>1117800</v>
      </c>
    </row>
    <row r="157" spans="1:9" x14ac:dyDescent="0.2">
      <c r="A157" s="1" t="s">
        <v>71</v>
      </c>
      <c r="B157" s="6" t="str">
        <f>"11246"</f>
        <v>11246</v>
      </c>
      <c r="C157" s="1" t="s">
        <v>8</v>
      </c>
      <c r="D157" s="1" t="s">
        <v>78</v>
      </c>
      <c r="E157" s="6" t="str">
        <f>"004"</f>
        <v>004</v>
      </c>
      <c r="F157" s="6">
        <v>2015</v>
      </c>
      <c r="G157" s="7">
        <v>20699400</v>
      </c>
      <c r="H157" s="7">
        <v>16032800</v>
      </c>
      <c r="I157" s="7">
        <v>4666600</v>
      </c>
    </row>
    <row r="158" spans="1:9" x14ac:dyDescent="0.2">
      <c r="A158" s="1" t="s">
        <v>71</v>
      </c>
      <c r="B158" s="6" t="str">
        <f>"11246"</f>
        <v>11246</v>
      </c>
      <c r="C158" s="1" t="s">
        <v>8</v>
      </c>
      <c r="D158" s="1" t="s">
        <v>78</v>
      </c>
      <c r="E158" s="6" t="str">
        <f>"005"</f>
        <v>005</v>
      </c>
      <c r="F158" s="6">
        <v>2015</v>
      </c>
      <c r="G158" s="7">
        <v>16601500</v>
      </c>
      <c r="H158" s="7">
        <v>12622800</v>
      </c>
      <c r="I158" s="7">
        <v>3978700</v>
      </c>
    </row>
    <row r="159" spans="1:9" x14ac:dyDescent="0.2">
      <c r="A159" s="1" t="s">
        <v>71</v>
      </c>
      <c r="B159" s="6" t="str">
        <f t="shared" ref="B159:B166" si="5">"11271"</f>
        <v>11271</v>
      </c>
      <c r="C159" s="1" t="s">
        <v>8</v>
      </c>
      <c r="D159" s="1" t="s">
        <v>79</v>
      </c>
      <c r="E159" s="6" t="str">
        <f>"004"</f>
        <v>004</v>
      </c>
      <c r="F159" s="6">
        <v>2003</v>
      </c>
      <c r="G159" s="7">
        <v>8608700</v>
      </c>
      <c r="H159" s="7">
        <v>211900</v>
      </c>
      <c r="I159" s="7">
        <v>8396800</v>
      </c>
    </row>
    <row r="160" spans="1:9" x14ac:dyDescent="0.2">
      <c r="A160" s="1" t="s">
        <v>71</v>
      </c>
      <c r="B160" s="6" t="str">
        <f t="shared" si="5"/>
        <v>11271</v>
      </c>
      <c r="C160" s="1" t="s">
        <v>8</v>
      </c>
      <c r="D160" s="1" t="s">
        <v>79</v>
      </c>
      <c r="E160" s="6" t="str">
        <f>"005"</f>
        <v>005</v>
      </c>
      <c r="F160" s="6">
        <v>2004</v>
      </c>
      <c r="G160" s="7">
        <v>9372100</v>
      </c>
      <c r="H160" s="7">
        <v>1258100</v>
      </c>
      <c r="I160" s="7">
        <v>8114000</v>
      </c>
    </row>
    <row r="161" spans="1:9" x14ac:dyDescent="0.2">
      <c r="A161" s="1" t="s">
        <v>71</v>
      </c>
      <c r="B161" s="6" t="str">
        <f t="shared" si="5"/>
        <v>11271</v>
      </c>
      <c r="C161" s="1" t="s">
        <v>8</v>
      </c>
      <c r="D161" s="1" t="s">
        <v>79</v>
      </c>
      <c r="E161" s="6" t="str">
        <f>"006"</f>
        <v>006</v>
      </c>
      <c r="F161" s="6">
        <v>2008</v>
      </c>
      <c r="G161" s="7">
        <v>20393100</v>
      </c>
      <c r="H161" s="7">
        <v>13314500</v>
      </c>
      <c r="I161" s="7">
        <v>7078600</v>
      </c>
    </row>
    <row r="162" spans="1:9" x14ac:dyDescent="0.2">
      <c r="A162" s="1" t="s">
        <v>71</v>
      </c>
      <c r="B162" s="6" t="str">
        <f t="shared" si="5"/>
        <v>11271</v>
      </c>
      <c r="C162" s="1" t="s">
        <v>8</v>
      </c>
      <c r="D162" s="1" t="s">
        <v>79</v>
      </c>
      <c r="E162" s="6" t="str">
        <f>"007"</f>
        <v>007</v>
      </c>
      <c r="F162" s="6">
        <v>2010</v>
      </c>
      <c r="G162" s="7">
        <v>34581400</v>
      </c>
      <c r="H162" s="7">
        <v>19073400</v>
      </c>
      <c r="I162" s="7">
        <v>15508000</v>
      </c>
    </row>
    <row r="163" spans="1:9" x14ac:dyDescent="0.2">
      <c r="A163" s="1" t="s">
        <v>71</v>
      </c>
      <c r="B163" s="6" t="str">
        <f t="shared" si="5"/>
        <v>11271</v>
      </c>
      <c r="C163" s="1" t="s">
        <v>8</v>
      </c>
      <c r="D163" s="1" t="s">
        <v>79</v>
      </c>
      <c r="E163" s="6" t="str">
        <f>"008"</f>
        <v>008</v>
      </c>
      <c r="F163" s="6">
        <v>2014</v>
      </c>
      <c r="G163" s="7">
        <v>3865400</v>
      </c>
      <c r="H163" s="7">
        <v>567800</v>
      </c>
      <c r="I163" s="7">
        <v>3297600</v>
      </c>
    </row>
    <row r="164" spans="1:9" x14ac:dyDescent="0.2">
      <c r="A164" s="1" t="s">
        <v>71</v>
      </c>
      <c r="B164" s="6" t="str">
        <f t="shared" si="5"/>
        <v>11271</v>
      </c>
      <c r="C164" s="1" t="s">
        <v>8</v>
      </c>
      <c r="D164" s="1" t="s">
        <v>79</v>
      </c>
      <c r="E164" s="6" t="str">
        <f>"009"</f>
        <v>009</v>
      </c>
      <c r="F164" s="6">
        <v>2017</v>
      </c>
      <c r="G164" s="7">
        <v>8321500</v>
      </c>
      <c r="H164" s="7">
        <v>1614200</v>
      </c>
      <c r="I164" s="7">
        <v>6707300</v>
      </c>
    </row>
    <row r="165" spans="1:9" x14ac:dyDescent="0.2">
      <c r="A165" s="1" t="s">
        <v>71</v>
      </c>
      <c r="B165" s="6" t="str">
        <f t="shared" si="5"/>
        <v>11271</v>
      </c>
      <c r="C165" s="1" t="s">
        <v>8</v>
      </c>
      <c r="D165" s="1" t="s">
        <v>79</v>
      </c>
      <c r="E165" s="6" t="str">
        <f>"010"</f>
        <v>010</v>
      </c>
      <c r="F165" s="6">
        <v>2019</v>
      </c>
      <c r="G165" s="7">
        <v>5046100</v>
      </c>
      <c r="H165" s="7">
        <v>910100</v>
      </c>
      <c r="I165" s="7">
        <v>4136000</v>
      </c>
    </row>
    <row r="166" spans="1:9" x14ac:dyDescent="0.2">
      <c r="A166" s="1" t="s">
        <v>71</v>
      </c>
      <c r="B166" s="6" t="str">
        <f t="shared" si="5"/>
        <v>11271</v>
      </c>
      <c r="C166" s="1" t="s">
        <v>8</v>
      </c>
      <c r="D166" s="1" t="s">
        <v>79</v>
      </c>
      <c r="E166" s="6" t="str">
        <f>"011"</f>
        <v>011</v>
      </c>
      <c r="F166" s="6">
        <v>2023</v>
      </c>
      <c r="G166" s="7">
        <v>11685700</v>
      </c>
      <c r="H166" s="7">
        <v>9860200</v>
      </c>
      <c r="I166" s="7">
        <v>1825500</v>
      </c>
    </row>
    <row r="167" spans="1:9" x14ac:dyDescent="0.2">
      <c r="A167" s="1" t="s">
        <v>71</v>
      </c>
      <c r="B167" s="6" t="str">
        <f>"11291"</f>
        <v>11291</v>
      </c>
      <c r="C167" s="1" t="s">
        <v>8</v>
      </c>
      <c r="D167" s="1" t="s">
        <v>9</v>
      </c>
      <c r="E167" s="6" t="str">
        <f>"003"</f>
        <v>003</v>
      </c>
      <c r="F167" s="6">
        <v>2005</v>
      </c>
      <c r="G167" s="7">
        <v>58748000</v>
      </c>
      <c r="H167" s="7">
        <v>14917900</v>
      </c>
      <c r="I167" s="7">
        <v>43830100</v>
      </c>
    </row>
    <row r="168" spans="1:9" x14ac:dyDescent="0.2">
      <c r="A168" s="1" t="s">
        <v>80</v>
      </c>
      <c r="B168" s="6" t="str">
        <f>"12131"</f>
        <v>12131</v>
      </c>
      <c r="C168" s="1" t="s">
        <v>12</v>
      </c>
      <c r="D168" s="1" t="s">
        <v>81</v>
      </c>
      <c r="E168" s="6" t="str">
        <f>"001"</f>
        <v>001</v>
      </c>
      <c r="F168" s="6">
        <v>2000</v>
      </c>
      <c r="G168" s="7">
        <v>2780400</v>
      </c>
      <c r="H168" s="7">
        <v>7900</v>
      </c>
      <c r="I168" s="7">
        <v>2772500</v>
      </c>
    </row>
    <row r="169" spans="1:9" x14ac:dyDescent="0.2">
      <c r="A169" s="1" t="s">
        <v>80</v>
      </c>
      <c r="B169" s="6" t="str">
        <f>"12131"</f>
        <v>12131</v>
      </c>
      <c r="C169" s="1" t="s">
        <v>12</v>
      </c>
      <c r="D169" s="1" t="s">
        <v>81</v>
      </c>
      <c r="E169" s="6" t="str">
        <f>"003"</f>
        <v>003</v>
      </c>
      <c r="F169" s="6">
        <v>2018</v>
      </c>
      <c r="G169" s="7">
        <v>224000</v>
      </c>
      <c r="H169" s="7">
        <v>0</v>
      </c>
      <c r="I169" s="7">
        <v>224000</v>
      </c>
    </row>
    <row r="170" spans="1:9" x14ac:dyDescent="0.2">
      <c r="A170" s="1" t="s">
        <v>80</v>
      </c>
      <c r="B170" s="6" t="str">
        <f>"12131"</f>
        <v>12131</v>
      </c>
      <c r="C170" s="1" t="s">
        <v>12</v>
      </c>
      <c r="D170" s="1" t="s">
        <v>81</v>
      </c>
      <c r="E170" s="6" t="str">
        <f>"004"</f>
        <v>004</v>
      </c>
      <c r="F170" s="6">
        <v>2018</v>
      </c>
      <c r="G170" s="7">
        <v>1455400</v>
      </c>
      <c r="H170" s="7">
        <v>206800</v>
      </c>
      <c r="I170" s="7">
        <v>1248600</v>
      </c>
    </row>
    <row r="171" spans="1:9" x14ac:dyDescent="0.2">
      <c r="A171" s="1" t="s">
        <v>80</v>
      </c>
      <c r="B171" s="6" t="str">
        <f>"12271"</f>
        <v>12271</v>
      </c>
      <c r="C171" s="1" t="s">
        <v>8</v>
      </c>
      <c r="D171" s="1" t="s">
        <v>82</v>
      </c>
      <c r="E171" s="6" t="str">
        <f>"001E"</f>
        <v>001E</v>
      </c>
      <c r="F171" s="6">
        <v>2007</v>
      </c>
      <c r="G171" s="7">
        <v>745700</v>
      </c>
      <c r="H171" s="7">
        <v>0</v>
      </c>
      <c r="I171" s="7">
        <v>745700</v>
      </c>
    </row>
    <row r="172" spans="1:9" x14ac:dyDescent="0.2">
      <c r="A172" s="1" t="s">
        <v>80</v>
      </c>
      <c r="B172" s="6" t="str">
        <f>"12271"</f>
        <v>12271</v>
      </c>
      <c r="C172" s="1" t="s">
        <v>8</v>
      </c>
      <c r="D172" s="1" t="s">
        <v>82</v>
      </c>
      <c r="E172" s="6" t="str">
        <f>"008"</f>
        <v>008</v>
      </c>
      <c r="F172" s="6">
        <v>2021</v>
      </c>
      <c r="G172" s="7">
        <v>7648500</v>
      </c>
      <c r="H172" s="7">
        <v>1811300</v>
      </c>
      <c r="I172" s="7">
        <v>5837200</v>
      </c>
    </row>
    <row r="173" spans="1:9" x14ac:dyDescent="0.2">
      <c r="A173" s="1" t="s">
        <v>80</v>
      </c>
      <c r="B173" s="6" t="str">
        <f>"12271"</f>
        <v>12271</v>
      </c>
      <c r="C173" s="1" t="s">
        <v>8</v>
      </c>
      <c r="D173" s="1" t="s">
        <v>82</v>
      </c>
      <c r="E173" s="6" t="str">
        <f>"009"</f>
        <v>009</v>
      </c>
      <c r="F173" s="6">
        <v>2021</v>
      </c>
      <c r="G173" s="7">
        <v>9582000</v>
      </c>
      <c r="H173" s="7">
        <v>5540200</v>
      </c>
      <c r="I173" s="7">
        <v>4041800</v>
      </c>
    </row>
    <row r="174" spans="1:9" x14ac:dyDescent="0.2">
      <c r="A174" s="1" t="s">
        <v>83</v>
      </c>
      <c r="B174" s="6" t="str">
        <f>"13056"</f>
        <v>13056</v>
      </c>
      <c r="C174" s="1" t="s">
        <v>6</v>
      </c>
      <c r="D174" s="1" t="s">
        <v>84</v>
      </c>
      <c r="E174" s="6" t="str">
        <f>"001E"</f>
        <v>001E</v>
      </c>
      <c r="F174" s="6">
        <v>2014</v>
      </c>
      <c r="G174" s="7">
        <v>12287100</v>
      </c>
      <c r="H174" s="7">
        <v>408400</v>
      </c>
      <c r="I174" s="7">
        <v>11878700</v>
      </c>
    </row>
    <row r="175" spans="1:9" x14ac:dyDescent="0.2">
      <c r="A175" s="1" t="s">
        <v>83</v>
      </c>
      <c r="B175" s="6" t="str">
        <f>"13106"</f>
        <v>13106</v>
      </c>
      <c r="C175" s="1" t="s">
        <v>12</v>
      </c>
      <c r="D175" s="1" t="s">
        <v>85</v>
      </c>
      <c r="E175" s="6" t="str">
        <f>"003"</f>
        <v>003</v>
      </c>
      <c r="F175" s="6">
        <v>2009</v>
      </c>
      <c r="G175" s="7">
        <v>65250000</v>
      </c>
      <c r="H175" s="7">
        <v>162400</v>
      </c>
      <c r="I175" s="7">
        <v>65087600</v>
      </c>
    </row>
    <row r="176" spans="1:9" x14ac:dyDescent="0.2">
      <c r="A176" s="1" t="s">
        <v>83</v>
      </c>
      <c r="B176" s="6" t="str">
        <f>"13106"</f>
        <v>13106</v>
      </c>
      <c r="C176" s="1" t="s">
        <v>12</v>
      </c>
      <c r="D176" s="1" t="s">
        <v>85</v>
      </c>
      <c r="E176" s="6" t="str">
        <f>"005"</f>
        <v>005</v>
      </c>
      <c r="F176" s="6">
        <v>2009</v>
      </c>
      <c r="G176" s="7">
        <v>9877500</v>
      </c>
      <c r="H176" s="7">
        <v>6990200</v>
      </c>
      <c r="I176" s="7">
        <v>2887300</v>
      </c>
    </row>
    <row r="177" spans="1:9" x14ac:dyDescent="0.2">
      <c r="A177" s="1" t="s">
        <v>83</v>
      </c>
      <c r="B177" s="6" t="str">
        <f>"13107"</f>
        <v>13107</v>
      </c>
      <c r="C177" s="1" t="s">
        <v>12</v>
      </c>
      <c r="D177" s="1" t="s">
        <v>86</v>
      </c>
      <c r="E177" s="6" t="str">
        <f>"003"</f>
        <v>003</v>
      </c>
      <c r="F177" s="6">
        <v>2009</v>
      </c>
      <c r="G177" s="7">
        <v>7820800</v>
      </c>
      <c r="H177" s="7">
        <v>3089300</v>
      </c>
      <c r="I177" s="7">
        <v>4731500</v>
      </c>
    </row>
    <row r="178" spans="1:9" x14ac:dyDescent="0.2">
      <c r="A178" s="1" t="s">
        <v>83</v>
      </c>
      <c r="B178" s="6" t="str">
        <f>"13107"</f>
        <v>13107</v>
      </c>
      <c r="C178" s="1" t="s">
        <v>12</v>
      </c>
      <c r="D178" s="1" t="s">
        <v>86</v>
      </c>
      <c r="E178" s="6" t="str">
        <f>"005"</f>
        <v>005</v>
      </c>
      <c r="F178" s="6">
        <v>2018</v>
      </c>
      <c r="G178" s="7">
        <v>8864600</v>
      </c>
      <c r="H178" s="7">
        <v>5748600</v>
      </c>
      <c r="I178" s="7">
        <v>3116000</v>
      </c>
    </row>
    <row r="179" spans="1:9" x14ac:dyDescent="0.2">
      <c r="A179" s="1" t="s">
        <v>83</v>
      </c>
      <c r="B179" s="6" t="str">
        <f>"13109"</f>
        <v>13109</v>
      </c>
      <c r="C179" s="1" t="s">
        <v>12</v>
      </c>
      <c r="D179" s="1" t="s">
        <v>87</v>
      </c>
      <c r="E179" s="6" t="str">
        <f>"002"</f>
        <v>002</v>
      </c>
      <c r="F179" s="6">
        <v>2013</v>
      </c>
      <c r="G179" s="7">
        <v>12834200</v>
      </c>
      <c r="H179" s="7">
        <v>28000</v>
      </c>
      <c r="I179" s="7">
        <v>12806200</v>
      </c>
    </row>
    <row r="180" spans="1:9" x14ac:dyDescent="0.2">
      <c r="A180" s="1" t="s">
        <v>83</v>
      </c>
      <c r="B180" s="6" t="str">
        <f>"13111"</f>
        <v>13111</v>
      </c>
      <c r="C180" s="1" t="s">
        <v>12</v>
      </c>
      <c r="D180" s="1" t="s">
        <v>88</v>
      </c>
      <c r="E180" s="6" t="str">
        <f>"004"</f>
        <v>004</v>
      </c>
      <c r="F180" s="6">
        <v>2013</v>
      </c>
      <c r="G180" s="7">
        <v>18169200</v>
      </c>
      <c r="H180" s="7">
        <v>10041000</v>
      </c>
      <c r="I180" s="7">
        <v>8128200</v>
      </c>
    </row>
    <row r="181" spans="1:9" x14ac:dyDescent="0.2">
      <c r="A181" s="1" t="s">
        <v>83</v>
      </c>
      <c r="B181" s="6" t="str">
        <f>"13111"</f>
        <v>13111</v>
      </c>
      <c r="C181" s="1" t="s">
        <v>12</v>
      </c>
      <c r="D181" s="1" t="s">
        <v>88</v>
      </c>
      <c r="E181" s="6" t="str">
        <f>"005"</f>
        <v>005</v>
      </c>
      <c r="F181" s="6">
        <v>2020</v>
      </c>
      <c r="G181" s="7">
        <v>21511100</v>
      </c>
      <c r="H181" s="7">
        <v>3007200</v>
      </c>
      <c r="I181" s="7">
        <v>18503900</v>
      </c>
    </row>
    <row r="182" spans="1:9" x14ac:dyDescent="0.2">
      <c r="A182" s="1" t="s">
        <v>83</v>
      </c>
      <c r="B182" s="6" t="str">
        <f>"13111"</f>
        <v>13111</v>
      </c>
      <c r="C182" s="1" t="s">
        <v>12</v>
      </c>
      <c r="D182" s="1" t="s">
        <v>88</v>
      </c>
      <c r="E182" s="6" t="str">
        <f>"006"</f>
        <v>006</v>
      </c>
      <c r="F182" s="6">
        <v>2022</v>
      </c>
      <c r="G182" s="7">
        <v>3457200</v>
      </c>
      <c r="H182" s="7">
        <v>60700</v>
      </c>
      <c r="I182" s="7">
        <v>3396500</v>
      </c>
    </row>
    <row r="183" spans="1:9" x14ac:dyDescent="0.2">
      <c r="A183" s="1" t="s">
        <v>83</v>
      </c>
      <c r="B183" s="6" t="str">
        <f>"13112"</f>
        <v>13112</v>
      </c>
      <c r="C183" s="1" t="s">
        <v>12</v>
      </c>
      <c r="D183" s="1" t="s">
        <v>89</v>
      </c>
      <c r="E183" s="6" t="str">
        <f>"005"</f>
        <v>005</v>
      </c>
      <c r="F183" s="6">
        <v>2003</v>
      </c>
      <c r="G183" s="7">
        <v>260203600</v>
      </c>
      <c r="H183" s="7">
        <v>2896100</v>
      </c>
      <c r="I183" s="7">
        <v>257307500</v>
      </c>
    </row>
    <row r="184" spans="1:9" x14ac:dyDescent="0.2">
      <c r="A184" s="1" t="s">
        <v>83</v>
      </c>
      <c r="B184" s="6" t="str">
        <f>"13112"</f>
        <v>13112</v>
      </c>
      <c r="C184" s="1" t="s">
        <v>12</v>
      </c>
      <c r="D184" s="1" t="s">
        <v>89</v>
      </c>
      <c r="E184" s="6" t="str">
        <f>"006"</f>
        <v>006</v>
      </c>
      <c r="F184" s="6">
        <v>2005</v>
      </c>
      <c r="G184" s="7">
        <v>9223600</v>
      </c>
      <c r="H184" s="7">
        <v>6068800</v>
      </c>
      <c r="I184" s="7">
        <v>3154800</v>
      </c>
    </row>
    <row r="185" spans="1:9" x14ac:dyDescent="0.2">
      <c r="A185" s="1" t="s">
        <v>83</v>
      </c>
      <c r="B185" s="6" t="str">
        <f>"13112"</f>
        <v>13112</v>
      </c>
      <c r="C185" s="1" t="s">
        <v>12</v>
      </c>
      <c r="D185" s="1" t="s">
        <v>89</v>
      </c>
      <c r="E185" s="6" t="str">
        <f>"008"</f>
        <v>008</v>
      </c>
      <c r="F185" s="6">
        <v>2018</v>
      </c>
      <c r="G185" s="7">
        <v>7666900</v>
      </c>
      <c r="H185" s="7">
        <v>2611600</v>
      </c>
      <c r="I185" s="7">
        <v>5055300</v>
      </c>
    </row>
    <row r="186" spans="1:9" x14ac:dyDescent="0.2">
      <c r="A186" s="1" t="s">
        <v>83</v>
      </c>
      <c r="B186" s="6" t="str">
        <f>"13112"</f>
        <v>13112</v>
      </c>
      <c r="C186" s="1" t="s">
        <v>12</v>
      </c>
      <c r="D186" s="1" t="s">
        <v>89</v>
      </c>
      <c r="E186" s="6" t="str">
        <f>"009"</f>
        <v>009</v>
      </c>
      <c r="F186" s="6">
        <v>2018</v>
      </c>
      <c r="G186" s="7">
        <v>64919400</v>
      </c>
      <c r="H186" s="7">
        <v>9893500</v>
      </c>
      <c r="I186" s="7">
        <v>55025900</v>
      </c>
    </row>
    <row r="187" spans="1:9" x14ac:dyDescent="0.2">
      <c r="A187" s="1" t="s">
        <v>83</v>
      </c>
      <c r="B187" s="6" t="str">
        <f>"13112"</f>
        <v>13112</v>
      </c>
      <c r="C187" s="1" t="s">
        <v>12</v>
      </c>
      <c r="D187" s="1" t="s">
        <v>89</v>
      </c>
      <c r="E187" s="6" t="str">
        <f>"010"</f>
        <v>010</v>
      </c>
      <c r="F187" s="6">
        <v>2018</v>
      </c>
      <c r="G187" s="7">
        <v>40995500</v>
      </c>
      <c r="H187" s="7">
        <v>1241600</v>
      </c>
      <c r="I187" s="7">
        <v>39753900</v>
      </c>
    </row>
    <row r="188" spans="1:9" x14ac:dyDescent="0.2">
      <c r="A188" s="1" t="s">
        <v>83</v>
      </c>
      <c r="B188" s="6" t="str">
        <f>"13113"</f>
        <v>13113</v>
      </c>
      <c r="C188" s="1" t="s">
        <v>12</v>
      </c>
      <c r="D188" s="1" t="s">
        <v>90</v>
      </c>
      <c r="E188" s="6" t="str">
        <f>"003"</f>
        <v>003</v>
      </c>
      <c r="F188" s="6">
        <v>2008</v>
      </c>
      <c r="G188" s="7">
        <v>85243100</v>
      </c>
      <c r="H188" s="7">
        <v>26335800</v>
      </c>
      <c r="I188" s="7">
        <v>58907300</v>
      </c>
    </row>
    <row r="189" spans="1:9" x14ac:dyDescent="0.2">
      <c r="A189" s="1" t="s">
        <v>83</v>
      </c>
      <c r="B189" s="6" t="str">
        <f>"13116"</f>
        <v>13116</v>
      </c>
      <c r="C189" s="1" t="s">
        <v>12</v>
      </c>
      <c r="D189" s="1" t="s">
        <v>83</v>
      </c>
      <c r="E189" s="6" t="str">
        <f>"002"</f>
        <v>002</v>
      </c>
      <c r="F189" s="6">
        <v>2007</v>
      </c>
      <c r="G189" s="7">
        <v>6814800</v>
      </c>
      <c r="H189" s="7">
        <v>4426100</v>
      </c>
      <c r="I189" s="7">
        <v>2388700</v>
      </c>
    </row>
    <row r="190" spans="1:9" x14ac:dyDescent="0.2">
      <c r="A190" s="1" t="s">
        <v>83</v>
      </c>
      <c r="B190" s="6" t="str">
        <f>"13116"</f>
        <v>13116</v>
      </c>
      <c r="C190" s="1" t="s">
        <v>12</v>
      </c>
      <c r="D190" s="1" t="s">
        <v>83</v>
      </c>
      <c r="E190" s="6" t="str">
        <f>"003"</f>
        <v>003</v>
      </c>
      <c r="F190" s="6">
        <v>2022</v>
      </c>
      <c r="G190" s="7">
        <v>24387700</v>
      </c>
      <c r="H190" s="7">
        <v>8381100</v>
      </c>
      <c r="I190" s="7">
        <v>16006600</v>
      </c>
    </row>
    <row r="191" spans="1:9" x14ac:dyDescent="0.2">
      <c r="A191" s="1" t="s">
        <v>83</v>
      </c>
      <c r="B191" s="6" t="str">
        <f>"13117"</f>
        <v>13117</v>
      </c>
      <c r="C191" s="1" t="s">
        <v>12</v>
      </c>
      <c r="D191" s="1" t="s">
        <v>91</v>
      </c>
      <c r="E191" s="6" t="str">
        <f>"003"</f>
        <v>003</v>
      </c>
      <c r="F191" s="6">
        <v>2005</v>
      </c>
      <c r="G191" s="7">
        <v>58521500</v>
      </c>
      <c r="H191" s="7">
        <v>9507500</v>
      </c>
      <c r="I191" s="7">
        <v>49014000</v>
      </c>
    </row>
    <row r="192" spans="1:9" x14ac:dyDescent="0.2">
      <c r="A192" s="1" t="s">
        <v>83</v>
      </c>
      <c r="B192" s="6" t="str">
        <f>"13117"</f>
        <v>13117</v>
      </c>
      <c r="C192" s="1" t="s">
        <v>12</v>
      </c>
      <c r="D192" s="1" t="s">
        <v>91</v>
      </c>
      <c r="E192" s="6" t="str">
        <f>"005"</f>
        <v>005</v>
      </c>
      <c r="F192" s="6">
        <v>2008</v>
      </c>
      <c r="G192" s="7">
        <v>1775000</v>
      </c>
      <c r="H192" s="7">
        <v>11700</v>
      </c>
      <c r="I192" s="7">
        <v>1763300</v>
      </c>
    </row>
    <row r="193" spans="1:9" x14ac:dyDescent="0.2">
      <c r="A193" s="1" t="s">
        <v>83</v>
      </c>
      <c r="B193" s="6" t="str">
        <f>"13117"</f>
        <v>13117</v>
      </c>
      <c r="C193" s="1" t="s">
        <v>12</v>
      </c>
      <c r="D193" s="1" t="s">
        <v>91</v>
      </c>
      <c r="E193" s="6" t="str">
        <f>"006"</f>
        <v>006</v>
      </c>
      <c r="F193" s="6">
        <v>2019</v>
      </c>
      <c r="G193" s="7">
        <v>1950000</v>
      </c>
      <c r="H193" s="7">
        <v>1065700</v>
      </c>
      <c r="I193" s="7">
        <v>884300</v>
      </c>
    </row>
    <row r="194" spans="1:9" x14ac:dyDescent="0.2">
      <c r="A194" s="1" t="s">
        <v>83</v>
      </c>
      <c r="B194" s="6" t="str">
        <f>"13117"</f>
        <v>13117</v>
      </c>
      <c r="C194" s="1" t="s">
        <v>12</v>
      </c>
      <c r="D194" s="1" t="s">
        <v>91</v>
      </c>
      <c r="E194" s="6" t="str">
        <f>"007"</f>
        <v>007</v>
      </c>
      <c r="F194" s="6">
        <v>2021</v>
      </c>
      <c r="G194" s="7">
        <v>7596400</v>
      </c>
      <c r="H194" s="7">
        <v>2271900</v>
      </c>
      <c r="I194" s="7">
        <v>5324500</v>
      </c>
    </row>
    <row r="195" spans="1:9" x14ac:dyDescent="0.2">
      <c r="A195" s="1" t="s">
        <v>83</v>
      </c>
      <c r="B195" s="6" t="str">
        <f t="shared" ref="B195:B202" si="6">"13118"</f>
        <v>13118</v>
      </c>
      <c r="C195" s="1" t="s">
        <v>12</v>
      </c>
      <c r="D195" s="1" t="s">
        <v>92</v>
      </c>
      <c r="E195" s="6" t="str">
        <f>"002"</f>
        <v>002</v>
      </c>
      <c r="F195" s="6">
        <v>2009</v>
      </c>
      <c r="G195" s="7">
        <v>130512200</v>
      </c>
      <c r="H195" s="7">
        <v>27900</v>
      </c>
      <c r="I195" s="7">
        <v>130484300</v>
      </c>
    </row>
    <row r="196" spans="1:9" x14ac:dyDescent="0.2">
      <c r="A196" s="1" t="s">
        <v>83</v>
      </c>
      <c r="B196" s="6" t="str">
        <f t="shared" si="6"/>
        <v>13118</v>
      </c>
      <c r="C196" s="1" t="s">
        <v>12</v>
      </c>
      <c r="D196" s="1" t="s">
        <v>92</v>
      </c>
      <c r="E196" s="6" t="str">
        <f>"003"</f>
        <v>003</v>
      </c>
      <c r="F196" s="6">
        <v>2009</v>
      </c>
      <c r="G196" s="7">
        <v>37945100</v>
      </c>
      <c r="H196" s="7">
        <v>981900</v>
      </c>
      <c r="I196" s="7">
        <v>36963200</v>
      </c>
    </row>
    <row r="197" spans="1:9" x14ac:dyDescent="0.2">
      <c r="A197" s="1" t="s">
        <v>83</v>
      </c>
      <c r="B197" s="6" t="str">
        <f t="shared" si="6"/>
        <v>13118</v>
      </c>
      <c r="C197" s="1" t="s">
        <v>12</v>
      </c>
      <c r="D197" s="1" t="s">
        <v>92</v>
      </c>
      <c r="E197" s="6" t="str">
        <f>"004"</f>
        <v>004</v>
      </c>
      <c r="F197" s="6">
        <v>2009</v>
      </c>
      <c r="G197" s="7">
        <v>65388400</v>
      </c>
      <c r="H197" s="7">
        <v>345700</v>
      </c>
      <c r="I197" s="7">
        <v>65042700</v>
      </c>
    </row>
    <row r="198" spans="1:9" x14ac:dyDescent="0.2">
      <c r="A198" s="1" t="s">
        <v>83</v>
      </c>
      <c r="B198" s="6" t="str">
        <f t="shared" si="6"/>
        <v>13118</v>
      </c>
      <c r="C198" s="1" t="s">
        <v>12</v>
      </c>
      <c r="D198" s="1" t="s">
        <v>92</v>
      </c>
      <c r="E198" s="6" t="str">
        <f>"005"</f>
        <v>005</v>
      </c>
      <c r="F198" s="6">
        <v>2010</v>
      </c>
      <c r="G198" s="7">
        <v>93911100</v>
      </c>
      <c r="H198" s="7">
        <v>350500</v>
      </c>
      <c r="I198" s="7">
        <v>93560600</v>
      </c>
    </row>
    <row r="199" spans="1:9" x14ac:dyDescent="0.2">
      <c r="A199" s="1" t="s">
        <v>83</v>
      </c>
      <c r="B199" s="6" t="str">
        <f t="shared" si="6"/>
        <v>13118</v>
      </c>
      <c r="C199" s="1" t="s">
        <v>12</v>
      </c>
      <c r="D199" s="1" t="s">
        <v>92</v>
      </c>
      <c r="E199" s="6" t="str">
        <f>"006"</f>
        <v>006</v>
      </c>
      <c r="F199" s="6">
        <v>2011</v>
      </c>
      <c r="G199" s="7">
        <v>79742300</v>
      </c>
      <c r="H199" s="7">
        <v>2764600</v>
      </c>
      <c r="I199" s="7">
        <v>76977700</v>
      </c>
    </row>
    <row r="200" spans="1:9" x14ac:dyDescent="0.2">
      <c r="A200" s="1" t="s">
        <v>83</v>
      </c>
      <c r="B200" s="6" t="str">
        <f t="shared" si="6"/>
        <v>13118</v>
      </c>
      <c r="C200" s="1" t="s">
        <v>12</v>
      </c>
      <c r="D200" s="1" t="s">
        <v>92</v>
      </c>
      <c r="E200" s="6" t="str">
        <f>"007"</f>
        <v>007</v>
      </c>
      <c r="F200" s="6">
        <v>2011</v>
      </c>
      <c r="G200" s="7">
        <v>147820200</v>
      </c>
      <c r="H200" s="7">
        <v>4492000</v>
      </c>
      <c r="I200" s="7">
        <v>143328200</v>
      </c>
    </row>
    <row r="201" spans="1:9" x14ac:dyDescent="0.2">
      <c r="A201" s="1" t="s">
        <v>83</v>
      </c>
      <c r="B201" s="6" t="str">
        <f t="shared" si="6"/>
        <v>13118</v>
      </c>
      <c r="C201" s="1" t="s">
        <v>12</v>
      </c>
      <c r="D201" s="1" t="s">
        <v>92</v>
      </c>
      <c r="E201" s="6" t="str">
        <f>"008"</f>
        <v>008</v>
      </c>
      <c r="F201" s="6">
        <v>2017</v>
      </c>
      <c r="G201" s="7">
        <v>57745400</v>
      </c>
      <c r="H201" s="7">
        <v>6728400</v>
      </c>
      <c r="I201" s="7">
        <v>51017000</v>
      </c>
    </row>
    <row r="202" spans="1:9" x14ac:dyDescent="0.2">
      <c r="A202" s="1" t="s">
        <v>83</v>
      </c>
      <c r="B202" s="6" t="str">
        <f t="shared" si="6"/>
        <v>13118</v>
      </c>
      <c r="C202" s="1" t="s">
        <v>12</v>
      </c>
      <c r="D202" s="1" t="s">
        <v>92</v>
      </c>
      <c r="E202" s="6" t="str">
        <f>"009"</f>
        <v>009</v>
      </c>
      <c r="F202" s="6">
        <v>2017</v>
      </c>
      <c r="G202" s="7">
        <v>51411600</v>
      </c>
      <c r="H202" s="7">
        <v>7320000</v>
      </c>
      <c r="I202" s="7">
        <v>44091600</v>
      </c>
    </row>
    <row r="203" spans="1:9" x14ac:dyDescent="0.2">
      <c r="A203" s="1" t="s">
        <v>83</v>
      </c>
      <c r="B203" s="6" t="str">
        <f>"13151"</f>
        <v>13151</v>
      </c>
      <c r="C203" s="1" t="s">
        <v>12</v>
      </c>
      <c r="D203" s="1" t="s">
        <v>93</v>
      </c>
      <c r="E203" s="6" t="str">
        <f>"001"</f>
        <v>001</v>
      </c>
      <c r="F203" s="6">
        <v>2014</v>
      </c>
      <c r="G203" s="7">
        <v>20958100</v>
      </c>
      <c r="H203" s="7">
        <v>5689400</v>
      </c>
      <c r="I203" s="7">
        <v>15268700</v>
      </c>
    </row>
    <row r="204" spans="1:9" x14ac:dyDescent="0.2">
      <c r="A204" s="1" t="s">
        <v>83</v>
      </c>
      <c r="B204" s="6" t="str">
        <f>"13152"</f>
        <v>13152</v>
      </c>
      <c r="C204" s="1" t="s">
        <v>12</v>
      </c>
      <c r="D204" s="1" t="s">
        <v>94</v>
      </c>
      <c r="E204" s="6" t="str">
        <f>"002"</f>
        <v>002</v>
      </c>
      <c r="F204" s="6">
        <v>2018</v>
      </c>
      <c r="G204" s="7">
        <v>34253200</v>
      </c>
      <c r="H204" s="7">
        <v>14377100</v>
      </c>
      <c r="I204" s="7">
        <v>19876100</v>
      </c>
    </row>
    <row r="205" spans="1:9" x14ac:dyDescent="0.2">
      <c r="A205" s="1" t="s">
        <v>83</v>
      </c>
      <c r="B205" s="6" t="str">
        <f>"13153"</f>
        <v>13153</v>
      </c>
      <c r="C205" s="1" t="s">
        <v>12</v>
      </c>
      <c r="D205" s="1" t="s">
        <v>95</v>
      </c>
      <c r="E205" s="6" t="str">
        <f>"004"</f>
        <v>004</v>
      </c>
      <c r="F205" s="6">
        <v>2005</v>
      </c>
      <c r="G205" s="7">
        <v>40578200</v>
      </c>
      <c r="H205" s="7">
        <v>5136800</v>
      </c>
      <c r="I205" s="7">
        <v>35441400</v>
      </c>
    </row>
    <row r="206" spans="1:9" x14ac:dyDescent="0.2">
      <c r="A206" s="1" t="s">
        <v>83</v>
      </c>
      <c r="B206" s="6" t="str">
        <f>"13153"</f>
        <v>13153</v>
      </c>
      <c r="C206" s="1" t="s">
        <v>12</v>
      </c>
      <c r="D206" s="1" t="s">
        <v>95</v>
      </c>
      <c r="E206" s="6" t="str">
        <f>"005"</f>
        <v>005</v>
      </c>
      <c r="F206" s="6">
        <v>2005</v>
      </c>
      <c r="G206" s="7">
        <v>6703200</v>
      </c>
      <c r="H206" s="7">
        <v>4455200</v>
      </c>
      <c r="I206" s="7">
        <v>2248000</v>
      </c>
    </row>
    <row r="207" spans="1:9" x14ac:dyDescent="0.2">
      <c r="A207" s="1" t="s">
        <v>83</v>
      </c>
      <c r="B207" s="6" t="str">
        <f>"13154"</f>
        <v>13154</v>
      </c>
      <c r="C207" s="1" t="s">
        <v>12</v>
      </c>
      <c r="D207" s="1" t="s">
        <v>96</v>
      </c>
      <c r="E207" s="6" t="str">
        <f>"003"</f>
        <v>003</v>
      </c>
      <c r="F207" s="6">
        <v>2004</v>
      </c>
      <c r="G207" s="7">
        <v>123221400</v>
      </c>
      <c r="H207" s="7">
        <v>24643300</v>
      </c>
      <c r="I207" s="7">
        <v>98578100</v>
      </c>
    </row>
    <row r="208" spans="1:9" x14ac:dyDescent="0.2">
      <c r="A208" s="1" t="s">
        <v>83</v>
      </c>
      <c r="B208" s="6" t="str">
        <f>"13154"</f>
        <v>13154</v>
      </c>
      <c r="C208" s="1" t="s">
        <v>12</v>
      </c>
      <c r="D208" s="1" t="s">
        <v>96</v>
      </c>
      <c r="E208" s="6" t="str">
        <f>"004"</f>
        <v>004</v>
      </c>
      <c r="F208" s="6">
        <v>2008</v>
      </c>
      <c r="G208" s="7">
        <v>16504400</v>
      </c>
      <c r="H208" s="7">
        <v>7422200</v>
      </c>
      <c r="I208" s="7">
        <v>9082200</v>
      </c>
    </row>
    <row r="209" spans="1:9" x14ac:dyDescent="0.2">
      <c r="A209" s="1" t="s">
        <v>83</v>
      </c>
      <c r="B209" s="6" t="str">
        <f>"13154"</f>
        <v>13154</v>
      </c>
      <c r="C209" s="1" t="s">
        <v>12</v>
      </c>
      <c r="D209" s="1" t="s">
        <v>96</v>
      </c>
      <c r="E209" s="6" t="str">
        <f>"005"</f>
        <v>005</v>
      </c>
      <c r="F209" s="6">
        <v>2018</v>
      </c>
      <c r="G209" s="7">
        <v>41998000</v>
      </c>
      <c r="H209" s="7">
        <v>16550200</v>
      </c>
      <c r="I209" s="7">
        <v>25447800</v>
      </c>
    </row>
    <row r="210" spans="1:9" x14ac:dyDescent="0.2">
      <c r="A210" s="1" t="s">
        <v>83</v>
      </c>
      <c r="B210" s="6" t="str">
        <f>"13154"</f>
        <v>13154</v>
      </c>
      <c r="C210" s="1" t="s">
        <v>12</v>
      </c>
      <c r="D210" s="1" t="s">
        <v>96</v>
      </c>
      <c r="E210" s="6" t="str">
        <f>"006"</f>
        <v>006</v>
      </c>
      <c r="F210" s="6">
        <v>2024</v>
      </c>
      <c r="G210" s="7">
        <v>78965700</v>
      </c>
      <c r="H210" s="7">
        <v>74258800</v>
      </c>
      <c r="I210" s="7">
        <v>4706900</v>
      </c>
    </row>
    <row r="211" spans="1:9" x14ac:dyDescent="0.2">
      <c r="A211" s="1" t="s">
        <v>83</v>
      </c>
      <c r="B211" s="6" t="str">
        <f>"13157"</f>
        <v>13157</v>
      </c>
      <c r="C211" s="1" t="s">
        <v>12</v>
      </c>
      <c r="D211" s="1" t="s">
        <v>97</v>
      </c>
      <c r="E211" s="6" t="str">
        <f>"003"</f>
        <v>003</v>
      </c>
      <c r="F211" s="6">
        <v>2004</v>
      </c>
      <c r="G211" s="7">
        <v>72417900</v>
      </c>
      <c r="H211" s="7">
        <v>2381600</v>
      </c>
      <c r="I211" s="7">
        <v>70036300</v>
      </c>
    </row>
    <row r="212" spans="1:9" x14ac:dyDescent="0.2">
      <c r="A212" s="1" t="s">
        <v>83</v>
      </c>
      <c r="B212" s="6" t="str">
        <f>"13157"</f>
        <v>13157</v>
      </c>
      <c r="C212" s="1" t="s">
        <v>12</v>
      </c>
      <c r="D212" s="1" t="s">
        <v>97</v>
      </c>
      <c r="E212" s="6" t="str">
        <f>"005"</f>
        <v>005</v>
      </c>
      <c r="F212" s="6">
        <v>2016</v>
      </c>
      <c r="G212" s="7">
        <v>75408000</v>
      </c>
      <c r="H212" s="7">
        <v>23613900</v>
      </c>
      <c r="I212" s="7">
        <v>51794100</v>
      </c>
    </row>
    <row r="213" spans="1:9" x14ac:dyDescent="0.2">
      <c r="A213" s="1" t="s">
        <v>83</v>
      </c>
      <c r="B213" s="6" t="str">
        <f>"13165"</f>
        <v>13165</v>
      </c>
      <c r="C213" s="1" t="s">
        <v>12</v>
      </c>
      <c r="D213" s="1" t="s">
        <v>98</v>
      </c>
      <c r="E213" s="6" t="str">
        <f>"003"</f>
        <v>003</v>
      </c>
      <c r="F213" s="6">
        <v>2005</v>
      </c>
      <c r="G213" s="7">
        <v>26871800</v>
      </c>
      <c r="H213" s="7">
        <v>15267400</v>
      </c>
      <c r="I213" s="7">
        <v>11604400</v>
      </c>
    </row>
    <row r="214" spans="1:9" x14ac:dyDescent="0.2">
      <c r="A214" s="1" t="s">
        <v>83</v>
      </c>
      <c r="B214" s="6" t="str">
        <f>"13165"</f>
        <v>13165</v>
      </c>
      <c r="C214" s="1" t="s">
        <v>12</v>
      </c>
      <c r="D214" s="1" t="s">
        <v>98</v>
      </c>
      <c r="E214" s="6" t="str">
        <f>"004"</f>
        <v>004</v>
      </c>
      <c r="F214" s="6">
        <v>2008</v>
      </c>
      <c r="G214" s="7">
        <v>47615900</v>
      </c>
      <c r="H214" s="7">
        <v>12099400</v>
      </c>
      <c r="I214" s="7">
        <v>35516500</v>
      </c>
    </row>
    <row r="215" spans="1:9" x14ac:dyDescent="0.2">
      <c r="A215" s="1" t="s">
        <v>83</v>
      </c>
      <c r="B215" s="6" t="str">
        <f>"13165"</f>
        <v>13165</v>
      </c>
      <c r="C215" s="1" t="s">
        <v>12</v>
      </c>
      <c r="D215" s="1" t="s">
        <v>98</v>
      </c>
      <c r="E215" s="6" t="str">
        <f>"005"</f>
        <v>005</v>
      </c>
      <c r="F215" s="6">
        <v>2017</v>
      </c>
      <c r="G215" s="7">
        <v>93780500</v>
      </c>
      <c r="H215" s="7">
        <v>51132200</v>
      </c>
      <c r="I215" s="7">
        <v>42648300</v>
      </c>
    </row>
    <row r="216" spans="1:9" x14ac:dyDescent="0.2">
      <c r="A216" s="1" t="s">
        <v>83</v>
      </c>
      <c r="B216" s="6" t="str">
        <f>"13165"</f>
        <v>13165</v>
      </c>
      <c r="C216" s="1" t="s">
        <v>12</v>
      </c>
      <c r="D216" s="1" t="s">
        <v>98</v>
      </c>
      <c r="E216" s="6" t="str">
        <f>"006"</f>
        <v>006</v>
      </c>
      <c r="F216" s="6">
        <v>2023</v>
      </c>
      <c r="G216" s="7">
        <v>7878500</v>
      </c>
      <c r="H216" s="7">
        <v>155900</v>
      </c>
      <c r="I216" s="7">
        <v>7722600</v>
      </c>
    </row>
    <row r="217" spans="1:9" x14ac:dyDescent="0.2">
      <c r="A217" s="1" t="s">
        <v>83</v>
      </c>
      <c r="B217" s="6" t="str">
        <f>"13181"</f>
        <v>13181</v>
      </c>
      <c r="C217" s="1" t="s">
        <v>12</v>
      </c>
      <c r="D217" s="1" t="s">
        <v>99</v>
      </c>
      <c r="E217" s="6" t="str">
        <f>"003"</f>
        <v>003</v>
      </c>
      <c r="F217" s="6">
        <v>2008</v>
      </c>
      <c r="G217" s="7">
        <v>109404200</v>
      </c>
      <c r="H217" s="7">
        <v>20022000</v>
      </c>
      <c r="I217" s="7">
        <v>89382200</v>
      </c>
    </row>
    <row r="218" spans="1:9" x14ac:dyDescent="0.2">
      <c r="A218" s="1" t="s">
        <v>83</v>
      </c>
      <c r="B218" s="6" t="str">
        <f>"13181"</f>
        <v>13181</v>
      </c>
      <c r="C218" s="1" t="s">
        <v>12</v>
      </c>
      <c r="D218" s="1" t="s">
        <v>99</v>
      </c>
      <c r="E218" s="6" t="str">
        <f>"004"</f>
        <v>004</v>
      </c>
      <c r="F218" s="6">
        <v>2010</v>
      </c>
      <c r="G218" s="7">
        <v>32379300</v>
      </c>
      <c r="H218" s="7">
        <v>8110100</v>
      </c>
      <c r="I218" s="7">
        <v>24269200</v>
      </c>
    </row>
    <row r="219" spans="1:9" x14ac:dyDescent="0.2">
      <c r="A219" s="1" t="s">
        <v>83</v>
      </c>
      <c r="B219" s="6" t="str">
        <f>"13181"</f>
        <v>13181</v>
      </c>
      <c r="C219" s="1" t="s">
        <v>12</v>
      </c>
      <c r="D219" s="1" t="s">
        <v>99</v>
      </c>
      <c r="E219" s="6" t="str">
        <f>"005"</f>
        <v>005</v>
      </c>
      <c r="F219" s="6">
        <v>2016</v>
      </c>
      <c r="G219" s="7">
        <v>19568500</v>
      </c>
      <c r="H219" s="7">
        <v>4252600</v>
      </c>
      <c r="I219" s="7">
        <v>15315900</v>
      </c>
    </row>
    <row r="220" spans="1:9" x14ac:dyDescent="0.2">
      <c r="A220" s="1" t="s">
        <v>83</v>
      </c>
      <c r="B220" s="6" t="str">
        <f t="shared" ref="B220:B225" si="7">"13191"</f>
        <v>13191</v>
      </c>
      <c r="C220" s="1" t="s">
        <v>12</v>
      </c>
      <c r="D220" s="1" t="s">
        <v>100</v>
      </c>
      <c r="E220" s="6" t="str">
        <f>"005"</f>
        <v>005</v>
      </c>
      <c r="F220" s="6">
        <v>2005</v>
      </c>
      <c r="G220" s="7">
        <v>68859600</v>
      </c>
      <c r="H220" s="7">
        <v>26844600</v>
      </c>
      <c r="I220" s="7">
        <v>42015000</v>
      </c>
    </row>
    <row r="221" spans="1:9" x14ac:dyDescent="0.2">
      <c r="A221" s="1" t="s">
        <v>83</v>
      </c>
      <c r="B221" s="6" t="str">
        <f t="shared" si="7"/>
        <v>13191</v>
      </c>
      <c r="C221" s="1" t="s">
        <v>12</v>
      </c>
      <c r="D221" s="1" t="s">
        <v>100</v>
      </c>
      <c r="E221" s="6" t="str">
        <f>"006"</f>
        <v>006</v>
      </c>
      <c r="F221" s="6">
        <v>2015</v>
      </c>
      <c r="G221" s="7">
        <v>110749900</v>
      </c>
      <c r="H221" s="7">
        <v>10299900</v>
      </c>
      <c r="I221" s="7">
        <v>100450000</v>
      </c>
    </row>
    <row r="222" spans="1:9" x14ac:dyDescent="0.2">
      <c r="A222" s="1" t="s">
        <v>83</v>
      </c>
      <c r="B222" s="6" t="str">
        <f t="shared" si="7"/>
        <v>13191</v>
      </c>
      <c r="C222" s="1" t="s">
        <v>12</v>
      </c>
      <c r="D222" s="1" t="s">
        <v>100</v>
      </c>
      <c r="E222" s="6" t="str">
        <f>"007"</f>
        <v>007</v>
      </c>
      <c r="F222" s="6">
        <v>2016</v>
      </c>
      <c r="G222" s="7">
        <v>9388700</v>
      </c>
      <c r="H222" s="7">
        <v>4445700</v>
      </c>
      <c r="I222" s="7">
        <v>4943000</v>
      </c>
    </row>
    <row r="223" spans="1:9" x14ac:dyDescent="0.2">
      <c r="A223" s="1" t="s">
        <v>83</v>
      </c>
      <c r="B223" s="6" t="str">
        <f t="shared" si="7"/>
        <v>13191</v>
      </c>
      <c r="C223" s="1" t="s">
        <v>12</v>
      </c>
      <c r="D223" s="1" t="s">
        <v>100</v>
      </c>
      <c r="E223" s="6" t="str">
        <f>"008"</f>
        <v>008</v>
      </c>
      <c r="F223" s="6">
        <v>2018</v>
      </c>
      <c r="G223" s="7">
        <v>47482100</v>
      </c>
      <c r="H223" s="7">
        <v>15658000</v>
      </c>
      <c r="I223" s="7">
        <v>31824100</v>
      </c>
    </row>
    <row r="224" spans="1:9" x14ac:dyDescent="0.2">
      <c r="A224" s="1" t="s">
        <v>83</v>
      </c>
      <c r="B224" s="6" t="str">
        <f t="shared" si="7"/>
        <v>13191</v>
      </c>
      <c r="C224" s="1" t="s">
        <v>12</v>
      </c>
      <c r="D224" s="1" t="s">
        <v>100</v>
      </c>
      <c r="E224" s="6" t="str">
        <f>"009"</f>
        <v>009</v>
      </c>
      <c r="F224" s="6">
        <v>2018</v>
      </c>
      <c r="G224" s="7">
        <v>44731800</v>
      </c>
      <c r="H224" s="7">
        <v>9569800</v>
      </c>
      <c r="I224" s="7">
        <v>35162000</v>
      </c>
    </row>
    <row r="225" spans="1:9" x14ac:dyDescent="0.2">
      <c r="A225" s="1" t="s">
        <v>83</v>
      </c>
      <c r="B225" s="6" t="str">
        <f t="shared" si="7"/>
        <v>13191</v>
      </c>
      <c r="C225" s="1" t="s">
        <v>12</v>
      </c>
      <c r="D225" s="1" t="s">
        <v>100</v>
      </c>
      <c r="E225" s="6" t="str">
        <f>"010"</f>
        <v>010</v>
      </c>
      <c r="F225" s="6">
        <v>2024</v>
      </c>
      <c r="G225" s="7">
        <v>9336500</v>
      </c>
      <c r="H225" s="7">
        <v>9656100</v>
      </c>
      <c r="I225" s="7">
        <v>-319600</v>
      </c>
    </row>
    <row r="226" spans="1:9" x14ac:dyDescent="0.2">
      <c r="A226" s="1" t="s">
        <v>83</v>
      </c>
      <c r="B226" s="6" t="str">
        <f>"13196"</f>
        <v>13196</v>
      </c>
      <c r="C226" s="1" t="s">
        <v>12</v>
      </c>
      <c r="D226" s="1" t="s">
        <v>101</v>
      </c>
      <c r="E226" s="6" t="str">
        <f>"001"</f>
        <v>001</v>
      </c>
      <c r="F226" s="6">
        <v>2014</v>
      </c>
      <c r="G226" s="7">
        <v>41287900</v>
      </c>
      <c r="H226" s="7">
        <v>382600</v>
      </c>
      <c r="I226" s="7">
        <v>40905300</v>
      </c>
    </row>
    <row r="227" spans="1:9" x14ac:dyDescent="0.2">
      <c r="A227" s="1" t="s">
        <v>83</v>
      </c>
      <c r="B227" s="6" t="str">
        <f>"13196"</f>
        <v>13196</v>
      </c>
      <c r="C227" s="1" t="s">
        <v>12</v>
      </c>
      <c r="D227" s="1" t="s">
        <v>101</v>
      </c>
      <c r="E227" s="6" t="str">
        <f>"002"</f>
        <v>002</v>
      </c>
      <c r="F227" s="6">
        <v>2024</v>
      </c>
      <c r="G227" s="7">
        <v>357900</v>
      </c>
      <c r="H227" s="7">
        <v>264200</v>
      </c>
      <c r="I227" s="7">
        <v>93700</v>
      </c>
    </row>
    <row r="228" spans="1:9" x14ac:dyDescent="0.2">
      <c r="A228" s="1" t="s">
        <v>83</v>
      </c>
      <c r="B228" s="6" t="str">
        <f t="shared" ref="B228:B236" si="8">"13225"</f>
        <v>13225</v>
      </c>
      <c r="C228" s="1" t="s">
        <v>8</v>
      </c>
      <c r="D228" s="1" t="s">
        <v>102</v>
      </c>
      <c r="E228" s="6" t="str">
        <f>"009"</f>
        <v>009</v>
      </c>
      <c r="F228" s="6">
        <v>2015</v>
      </c>
      <c r="G228" s="7">
        <v>162218500</v>
      </c>
      <c r="H228" s="7">
        <v>40198900</v>
      </c>
      <c r="I228" s="7">
        <v>122019600</v>
      </c>
    </row>
    <row r="229" spans="1:9" x14ac:dyDescent="0.2">
      <c r="A229" s="1" t="s">
        <v>83</v>
      </c>
      <c r="B229" s="6" t="str">
        <f t="shared" si="8"/>
        <v>13225</v>
      </c>
      <c r="C229" s="1" t="s">
        <v>8</v>
      </c>
      <c r="D229" s="1" t="s">
        <v>102</v>
      </c>
      <c r="E229" s="6" t="str">
        <f>"010"</f>
        <v>010</v>
      </c>
      <c r="F229" s="6">
        <v>2016</v>
      </c>
      <c r="G229" s="7">
        <v>228330900</v>
      </c>
      <c r="H229" s="7">
        <v>83938200</v>
      </c>
      <c r="I229" s="7">
        <v>144392700</v>
      </c>
    </row>
    <row r="230" spans="1:9" x14ac:dyDescent="0.2">
      <c r="A230" s="1" t="s">
        <v>83</v>
      </c>
      <c r="B230" s="6" t="str">
        <f t="shared" si="8"/>
        <v>13225</v>
      </c>
      <c r="C230" s="1" t="s">
        <v>8</v>
      </c>
      <c r="D230" s="1" t="s">
        <v>102</v>
      </c>
      <c r="E230" s="6" t="str">
        <f>"011"</f>
        <v>011</v>
      </c>
      <c r="F230" s="6">
        <v>2018</v>
      </c>
      <c r="G230" s="7">
        <v>404700</v>
      </c>
      <c r="H230" s="7">
        <v>436200</v>
      </c>
      <c r="I230" s="7">
        <v>-31500</v>
      </c>
    </row>
    <row r="231" spans="1:9" x14ac:dyDescent="0.2">
      <c r="A231" s="1" t="s">
        <v>83</v>
      </c>
      <c r="B231" s="6" t="str">
        <f t="shared" si="8"/>
        <v>13225</v>
      </c>
      <c r="C231" s="1" t="s">
        <v>8</v>
      </c>
      <c r="D231" s="1" t="s">
        <v>102</v>
      </c>
      <c r="E231" s="6" t="str">
        <f>"012"</f>
        <v>012</v>
      </c>
      <c r="F231" s="6">
        <v>2018</v>
      </c>
      <c r="G231" s="7">
        <v>185584200</v>
      </c>
      <c r="H231" s="7">
        <v>114382400</v>
      </c>
      <c r="I231" s="7">
        <v>71201800</v>
      </c>
    </row>
    <row r="232" spans="1:9" x14ac:dyDescent="0.2">
      <c r="A232" s="1" t="s">
        <v>83</v>
      </c>
      <c r="B232" s="6" t="str">
        <f t="shared" si="8"/>
        <v>13225</v>
      </c>
      <c r="C232" s="1" t="s">
        <v>8</v>
      </c>
      <c r="D232" s="1" t="s">
        <v>102</v>
      </c>
      <c r="E232" s="6" t="str">
        <f>"013"</f>
        <v>013</v>
      </c>
      <c r="F232" s="6">
        <v>2018</v>
      </c>
      <c r="G232" s="7">
        <v>56249800</v>
      </c>
      <c r="H232" s="7">
        <v>16022400</v>
      </c>
      <c r="I232" s="7">
        <v>40227400</v>
      </c>
    </row>
    <row r="233" spans="1:9" x14ac:dyDescent="0.2">
      <c r="A233" s="1" t="s">
        <v>83</v>
      </c>
      <c r="B233" s="6" t="str">
        <f t="shared" si="8"/>
        <v>13225</v>
      </c>
      <c r="C233" s="1" t="s">
        <v>8</v>
      </c>
      <c r="D233" s="1" t="s">
        <v>102</v>
      </c>
      <c r="E233" s="6" t="str">
        <f>"014"</f>
        <v>014</v>
      </c>
      <c r="F233" s="6">
        <v>2022</v>
      </c>
      <c r="G233" s="7">
        <v>29496900</v>
      </c>
      <c r="H233" s="7">
        <v>4121800</v>
      </c>
      <c r="I233" s="7">
        <v>25375100</v>
      </c>
    </row>
    <row r="234" spans="1:9" x14ac:dyDescent="0.2">
      <c r="A234" s="1" t="s">
        <v>83</v>
      </c>
      <c r="B234" s="6" t="str">
        <f t="shared" si="8"/>
        <v>13225</v>
      </c>
      <c r="C234" s="1" t="s">
        <v>8</v>
      </c>
      <c r="D234" s="1" t="s">
        <v>102</v>
      </c>
      <c r="E234" s="6" t="str">
        <f>"016"</f>
        <v>016</v>
      </c>
      <c r="F234" s="6">
        <v>2023</v>
      </c>
      <c r="G234" s="7">
        <v>45495600</v>
      </c>
      <c r="H234" s="7">
        <v>39996700</v>
      </c>
      <c r="I234" s="7">
        <v>5498900</v>
      </c>
    </row>
    <row r="235" spans="1:9" x14ac:dyDescent="0.2">
      <c r="A235" s="1" t="s">
        <v>83</v>
      </c>
      <c r="B235" s="6" t="str">
        <f t="shared" si="8"/>
        <v>13225</v>
      </c>
      <c r="C235" s="1" t="s">
        <v>8</v>
      </c>
      <c r="D235" s="1" t="s">
        <v>102</v>
      </c>
      <c r="E235" s="6" t="str">
        <f>"017"</f>
        <v>017</v>
      </c>
      <c r="F235" s="6">
        <v>2023</v>
      </c>
      <c r="G235" s="7">
        <v>83989100</v>
      </c>
      <c r="H235" s="7">
        <v>76266100</v>
      </c>
      <c r="I235" s="7">
        <v>7723000</v>
      </c>
    </row>
    <row r="236" spans="1:9" x14ac:dyDescent="0.2">
      <c r="A236" s="1" t="s">
        <v>83</v>
      </c>
      <c r="B236" s="6" t="str">
        <f t="shared" si="8"/>
        <v>13225</v>
      </c>
      <c r="C236" s="1" t="s">
        <v>8</v>
      </c>
      <c r="D236" s="1" t="s">
        <v>102</v>
      </c>
      <c r="E236" s="6" t="str">
        <f>"018"</f>
        <v>018</v>
      </c>
      <c r="F236" s="6">
        <v>2024</v>
      </c>
      <c r="G236" s="7">
        <v>14829200</v>
      </c>
      <c r="H236" s="7">
        <v>14778400</v>
      </c>
      <c r="I236" s="7">
        <v>50800</v>
      </c>
    </row>
    <row r="237" spans="1:9" x14ac:dyDescent="0.2">
      <c r="A237" s="1" t="s">
        <v>83</v>
      </c>
      <c r="B237" s="6" t="str">
        <f t="shared" ref="B237:B250" si="9">"13251"</f>
        <v>13251</v>
      </c>
      <c r="C237" s="1" t="s">
        <v>8</v>
      </c>
      <c r="D237" s="1" t="s">
        <v>103</v>
      </c>
      <c r="E237" s="6" t="str">
        <f>"036"</f>
        <v>036</v>
      </c>
      <c r="F237" s="6">
        <v>2005</v>
      </c>
      <c r="G237" s="7">
        <v>779145900</v>
      </c>
      <c r="H237" s="7">
        <v>92660300</v>
      </c>
      <c r="I237" s="7">
        <v>686485600</v>
      </c>
    </row>
    <row r="238" spans="1:9" x14ac:dyDescent="0.2">
      <c r="A238" s="1" t="s">
        <v>83</v>
      </c>
      <c r="B238" s="6" t="str">
        <f t="shared" si="9"/>
        <v>13251</v>
      </c>
      <c r="C238" s="1" t="s">
        <v>8</v>
      </c>
      <c r="D238" s="1" t="s">
        <v>103</v>
      </c>
      <c r="E238" s="6" t="str">
        <f>"037"</f>
        <v>037</v>
      </c>
      <c r="F238" s="6">
        <v>2006</v>
      </c>
      <c r="G238" s="7">
        <v>251486900</v>
      </c>
      <c r="H238" s="7">
        <v>41593800</v>
      </c>
      <c r="I238" s="7">
        <v>209893100</v>
      </c>
    </row>
    <row r="239" spans="1:9" x14ac:dyDescent="0.2">
      <c r="A239" s="1" t="s">
        <v>83</v>
      </c>
      <c r="B239" s="6" t="str">
        <f t="shared" si="9"/>
        <v>13251</v>
      </c>
      <c r="C239" s="1" t="s">
        <v>8</v>
      </c>
      <c r="D239" s="1" t="s">
        <v>103</v>
      </c>
      <c r="E239" s="6" t="str">
        <f>"041"</f>
        <v>041</v>
      </c>
      <c r="F239" s="6">
        <v>2011</v>
      </c>
      <c r="G239" s="7">
        <v>93497100</v>
      </c>
      <c r="H239" s="7">
        <v>18321600</v>
      </c>
      <c r="I239" s="7">
        <v>75175500</v>
      </c>
    </row>
    <row r="240" spans="1:9" x14ac:dyDescent="0.2">
      <c r="A240" s="1" t="s">
        <v>83</v>
      </c>
      <c r="B240" s="6" t="str">
        <f t="shared" si="9"/>
        <v>13251</v>
      </c>
      <c r="C240" s="1" t="s">
        <v>8</v>
      </c>
      <c r="D240" s="1" t="s">
        <v>103</v>
      </c>
      <c r="E240" s="6" t="str">
        <f>"042"</f>
        <v>042</v>
      </c>
      <c r="F240" s="6">
        <v>2012</v>
      </c>
      <c r="G240" s="7">
        <v>216223900</v>
      </c>
      <c r="H240" s="7">
        <v>46681100</v>
      </c>
      <c r="I240" s="7">
        <v>169542800</v>
      </c>
    </row>
    <row r="241" spans="1:9" x14ac:dyDescent="0.2">
      <c r="A241" s="1" t="s">
        <v>83</v>
      </c>
      <c r="B241" s="6" t="str">
        <f t="shared" si="9"/>
        <v>13251</v>
      </c>
      <c r="C241" s="1" t="s">
        <v>8</v>
      </c>
      <c r="D241" s="1" t="s">
        <v>103</v>
      </c>
      <c r="E241" s="6" t="str">
        <f>"044"</f>
        <v>044</v>
      </c>
      <c r="F241" s="6">
        <v>2013</v>
      </c>
      <c r="G241" s="7">
        <v>137112500</v>
      </c>
      <c r="H241" s="7">
        <v>28664300</v>
      </c>
      <c r="I241" s="7">
        <v>108448200</v>
      </c>
    </row>
    <row r="242" spans="1:9" x14ac:dyDescent="0.2">
      <c r="A242" s="1" t="s">
        <v>83</v>
      </c>
      <c r="B242" s="6" t="str">
        <f t="shared" si="9"/>
        <v>13251</v>
      </c>
      <c r="C242" s="1" t="s">
        <v>8</v>
      </c>
      <c r="D242" s="1" t="s">
        <v>103</v>
      </c>
      <c r="E242" s="6" t="str">
        <f>"045"</f>
        <v>045</v>
      </c>
      <c r="F242" s="6">
        <v>2015</v>
      </c>
      <c r="G242" s="7">
        <v>273062900</v>
      </c>
      <c r="H242" s="7">
        <v>110044900</v>
      </c>
      <c r="I242" s="7">
        <v>163018000</v>
      </c>
    </row>
    <row r="243" spans="1:9" x14ac:dyDescent="0.2">
      <c r="A243" s="1" t="s">
        <v>83</v>
      </c>
      <c r="B243" s="6" t="str">
        <f t="shared" si="9"/>
        <v>13251</v>
      </c>
      <c r="C243" s="1" t="s">
        <v>8</v>
      </c>
      <c r="D243" s="1" t="s">
        <v>103</v>
      </c>
      <c r="E243" s="6" t="str">
        <f>"046"</f>
        <v>046</v>
      </c>
      <c r="F243" s="6">
        <v>2015</v>
      </c>
      <c r="G243" s="7">
        <v>805558900</v>
      </c>
      <c r="H243" s="7">
        <v>286649600</v>
      </c>
      <c r="I243" s="7">
        <v>518909300</v>
      </c>
    </row>
    <row r="244" spans="1:9" x14ac:dyDescent="0.2">
      <c r="A244" s="1" t="s">
        <v>83</v>
      </c>
      <c r="B244" s="6" t="str">
        <f t="shared" si="9"/>
        <v>13251</v>
      </c>
      <c r="C244" s="1" t="s">
        <v>8</v>
      </c>
      <c r="D244" s="1" t="s">
        <v>103</v>
      </c>
      <c r="E244" s="6" t="str">
        <f>"048"</f>
        <v>048</v>
      </c>
      <c r="F244" s="6">
        <v>2021</v>
      </c>
      <c r="G244" s="7">
        <v>570509300</v>
      </c>
      <c r="H244" s="7">
        <v>232127900</v>
      </c>
      <c r="I244" s="7">
        <v>338381400</v>
      </c>
    </row>
    <row r="245" spans="1:9" x14ac:dyDescent="0.2">
      <c r="A245" s="1" t="s">
        <v>83</v>
      </c>
      <c r="B245" s="6" t="str">
        <f t="shared" si="9"/>
        <v>13251</v>
      </c>
      <c r="C245" s="1" t="s">
        <v>8</v>
      </c>
      <c r="D245" s="1" t="s">
        <v>103</v>
      </c>
      <c r="E245" s="6" t="str">
        <f>"049"</f>
        <v>049</v>
      </c>
      <c r="F245" s="6">
        <v>2022</v>
      </c>
      <c r="G245" s="7">
        <v>71122500</v>
      </c>
      <c r="H245" s="7">
        <v>31776400</v>
      </c>
      <c r="I245" s="7">
        <v>39346100</v>
      </c>
    </row>
    <row r="246" spans="1:9" x14ac:dyDescent="0.2">
      <c r="A246" s="1" t="s">
        <v>83</v>
      </c>
      <c r="B246" s="6" t="str">
        <f t="shared" si="9"/>
        <v>13251</v>
      </c>
      <c r="C246" s="1" t="s">
        <v>8</v>
      </c>
      <c r="D246" s="1" t="s">
        <v>103</v>
      </c>
      <c r="E246" s="6" t="str">
        <f>"050"</f>
        <v>050</v>
      </c>
      <c r="F246" s="6">
        <v>2022</v>
      </c>
      <c r="G246" s="7">
        <v>970027600</v>
      </c>
      <c r="H246" s="7">
        <v>681086000</v>
      </c>
      <c r="I246" s="7">
        <v>288941600</v>
      </c>
    </row>
    <row r="247" spans="1:9" x14ac:dyDescent="0.2">
      <c r="A247" s="1" t="s">
        <v>83</v>
      </c>
      <c r="B247" s="6" t="str">
        <f t="shared" si="9"/>
        <v>13251</v>
      </c>
      <c r="C247" s="1" t="s">
        <v>8</v>
      </c>
      <c r="D247" s="1" t="s">
        <v>103</v>
      </c>
      <c r="E247" s="6" t="str">
        <f>"051"</f>
        <v>051</v>
      </c>
      <c r="F247" s="6">
        <v>2023</v>
      </c>
      <c r="G247" s="7">
        <v>213509300</v>
      </c>
      <c r="H247" s="7">
        <v>185365300</v>
      </c>
      <c r="I247" s="7">
        <v>28144000</v>
      </c>
    </row>
    <row r="248" spans="1:9" x14ac:dyDescent="0.2">
      <c r="A248" s="1" t="s">
        <v>83</v>
      </c>
      <c r="B248" s="6" t="str">
        <f t="shared" si="9"/>
        <v>13251</v>
      </c>
      <c r="C248" s="1" t="s">
        <v>8</v>
      </c>
      <c r="D248" s="1" t="s">
        <v>103</v>
      </c>
      <c r="E248" s="6" t="str">
        <f>"052"</f>
        <v>052</v>
      </c>
      <c r="F248" s="6">
        <v>2023</v>
      </c>
      <c r="G248" s="7">
        <v>68756600</v>
      </c>
      <c r="H248" s="7">
        <v>39774600</v>
      </c>
      <c r="I248" s="7">
        <v>28982000</v>
      </c>
    </row>
    <row r="249" spans="1:9" x14ac:dyDescent="0.2">
      <c r="A249" s="1" t="s">
        <v>83</v>
      </c>
      <c r="B249" s="6" t="str">
        <f t="shared" si="9"/>
        <v>13251</v>
      </c>
      <c r="C249" s="1" t="s">
        <v>8</v>
      </c>
      <c r="D249" s="1" t="s">
        <v>103</v>
      </c>
      <c r="E249" s="6" t="str">
        <f>"053"</f>
        <v>053</v>
      </c>
      <c r="F249" s="6">
        <v>2023</v>
      </c>
      <c r="G249" s="7">
        <v>363597700</v>
      </c>
      <c r="H249" s="7">
        <v>247705000</v>
      </c>
      <c r="I249" s="7">
        <v>115892700</v>
      </c>
    </row>
    <row r="250" spans="1:9" x14ac:dyDescent="0.2">
      <c r="A250" s="1" t="s">
        <v>83</v>
      </c>
      <c r="B250" s="6" t="str">
        <f t="shared" si="9"/>
        <v>13251</v>
      </c>
      <c r="C250" s="1" t="s">
        <v>8</v>
      </c>
      <c r="D250" s="1" t="s">
        <v>103</v>
      </c>
      <c r="E250" s="6" t="str">
        <f>"054"</f>
        <v>054</v>
      </c>
      <c r="F250" s="6">
        <v>2023</v>
      </c>
      <c r="G250" s="7">
        <v>97359300</v>
      </c>
      <c r="H250" s="7">
        <v>80701500</v>
      </c>
      <c r="I250" s="7">
        <v>16657800</v>
      </c>
    </row>
    <row r="251" spans="1:9" x14ac:dyDescent="0.2">
      <c r="A251" s="1" t="s">
        <v>83</v>
      </c>
      <c r="B251" s="6" t="str">
        <f>"13255"</f>
        <v>13255</v>
      </c>
      <c r="C251" s="1" t="s">
        <v>8</v>
      </c>
      <c r="D251" s="1" t="s">
        <v>104</v>
      </c>
      <c r="E251" s="6" t="str">
        <f>"003"</f>
        <v>003</v>
      </c>
      <c r="F251" s="6">
        <v>1993</v>
      </c>
      <c r="G251" s="7">
        <v>724421700</v>
      </c>
      <c r="H251" s="7">
        <v>48183300</v>
      </c>
      <c r="I251" s="7">
        <v>676238400</v>
      </c>
    </row>
    <row r="252" spans="1:9" x14ac:dyDescent="0.2">
      <c r="A252" s="1" t="s">
        <v>83</v>
      </c>
      <c r="B252" s="6" t="str">
        <f>"13255"</f>
        <v>13255</v>
      </c>
      <c r="C252" s="1" t="s">
        <v>8</v>
      </c>
      <c r="D252" s="1" t="s">
        <v>104</v>
      </c>
      <c r="E252" s="6" t="str">
        <f>"005"</f>
        <v>005</v>
      </c>
      <c r="F252" s="6">
        <v>2009</v>
      </c>
      <c r="G252" s="7">
        <v>364271500</v>
      </c>
      <c r="H252" s="7">
        <v>82175800</v>
      </c>
      <c r="I252" s="7">
        <v>282095700</v>
      </c>
    </row>
    <row r="253" spans="1:9" x14ac:dyDescent="0.2">
      <c r="A253" s="1" t="s">
        <v>83</v>
      </c>
      <c r="B253" s="6" t="str">
        <f t="shared" ref="B253:B266" si="10">"13258"</f>
        <v>13258</v>
      </c>
      <c r="C253" s="1" t="s">
        <v>8</v>
      </c>
      <c r="D253" s="1" t="s">
        <v>105</v>
      </c>
      <c r="E253" s="6" t="str">
        <f>"004"</f>
        <v>004</v>
      </c>
      <c r="F253" s="6">
        <v>2000</v>
      </c>
      <c r="G253" s="7">
        <v>82866200</v>
      </c>
      <c r="H253" s="7">
        <v>28893000</v>
      </c>
      <c r="I253" s="7">
        <v>53973200</v>
      </c>
    </row>
    <row r="254" spans="1:9" x14ac:dyDescent="0.2">
      <c r="A254" s="1" t="s">
        <v>83</v>
      </c>
      <c r="B254" s="6" t="str">
        <f t="shared" si="10"/>
        <v>13258</v>
      </c>
      <c r="C254" s="1" t="s">
        <v>8</v>
      </c>
      <c r="D254" s="1" t="s">
        <v>105</v>
      </c>
      <c r="E254" s="6" t="str">
        <f>"005"</f>
        <v>005</v>
      </c>
      <c r="F254" s="6">
        <v>2008</v>
      </c>
      <c r="G254" s="7">
        <v>25776100</v>
      </c>
      <c r="H254" s="7">
        <v>4135900</v>
      </c>
      <c r="I254" s="7">
        <v>21640200</v>
      </c>
    </row>
    <row r="255" spans="1:9" x14ac:dyDescent="0.2">
      <c r="A255" s="1" t="s">
        <v>83</v>
      </c>
      <c r="B255" s="6" t="str">
        <f t="shared" si="10"/>
        <v>13258</v>
      </c>
      <c r="C255" s="1" t="s">
        <v>8</v>
      </c>
      <c r="D255" s="1" t="s">
        <v>105</v>
      </c>
      <c r="E255" s="6" t="str">
        <f>"006"</f>
        <v>006</v>
      </c>
      <c r="F255" s="6">
        <v>2010</v>
      </c>
      <c r="G255" s="7">
        <v>64172100</v>
      </c>
      <c r="H255" s="7">
        <v>17399200</v>
      </c>
      <c r="I255" s="7">
        <v>46772900</v>
      </c>
    </row>
    <row r="256" spans="1:9" x14ac:dyDescent="0.2">
      <c r="A256" s="1" t="s">
        <v>83</v>
      </c>
      <c r="B256" s="6" t="str">
        <f t="shared" si="10"/>
        <v>13258</v>
      </c>
      <c r="C256" s="1" t="s">
        <v>8</v>
      </c>
      <c r="D256" s="1" t="s">
        <v>105</v>
      </c>
      <c r="E256" s="6" t="str">
        <f>"007"</f>
        <v>007</v>
      </c>
      <c r="F256" s="6">
        <v>2012</v>
      </c>
      <c r="G256" s="7">
        <v>21433900</v>
      </c>
      <c r="H256" s="7">
        <v>8083900</v>
      </c>
      <c r="I256" s="7">
        <v>13350000</v>
      </c>
    </row>
    <row r="257" spans="1:9" x14ac:dyDescent="0.2">
      <c r="A257" s="1" t="s">
        <v>83</v>
      </c>
      <c r="B257" s="6" t="str">
        <f t="shared" si="10"/>
        <v>13258</v>
      </c>
      <c r="C257" s="1" t="s">
        <v>8</v>
      </c>
      <c r="D257" s="1" t="s">
        <v>105</v>
      </c>
      <c r="E257" s="6" t="str">
        <f>"008"</f>
        <v>008</v>
      </c>
      <c r="F257" s="6">
        <v>2012</v>
      </c>
      <c r="G257" s="7">
        <v>28589900</v>
      </c>
      <c r="H257" s="7">
        <v>416000</v>
      </c>
      <c r="I257" s="7">
        <v>28173900</v>
      </c>
    </row>
    <row r="258" spans="1:9" x14ac:dyDescent="0.2">
      <c r="A258" s="1" t="s">
        <v>83</v>
      </c>
      <c r="B258" s="6" t="str">
        <f t="shared" si="10"/>
        <v>13258</v>
      </c>
      <c r="C258" s="1" t="s">
        <v>8</v>
      </c>
      <c r="D258" s="1" t="s">
        <v>105</v>
      </c>
      <c r="E258" s="6" t="str">
        <f>"009"</f>
        <v>009</v>
      </c>
      <c r="F258" s="6">
        <v>2015</v>
      </c>
      <c r="G258" s="7">
        <v>75597000</v>
      </c>
      <c r="H258" s="7">
        <v>7246100</v>
      </c>
      <c r="I258" s="7">
        <v>68350900</v>
      </c>
    </row>
    <row r="259" spans="1:9" x14ac:dyDescent="0.2">
      <c r="A259" s="1" t="s">
        <v>83</v>
      </c>
      <c r="B259" s="6" t="str">
        <f t="shared" si="10"/>
        <v>13258</v>
      </c>
      <c r="C259" s="1" t="s">
        <v>8</v>
      </c>
      <c r="D259" s="1" t="s">
        <v>105</v>
      </c>
      <c r="E259" s="6" t="str">
        <f>"010"</f>
        <v>010</v>
      </c>
      <c r="F259" s="6">
        <v>2024</v>
      </c>
      <c r="G259" s="7">
        <v>3318500</v>
      </c>
      <c r="H259" s="7">
        <v>3060800</v>
      </c>
      <c r="I259" s="7">
        <v>257700</v>
      </c>
    </row>
    <row r="260" spans="1:9" x14ac:dyDescent="0.2">
      <c r="A260" s="1" t="s">
        <v>83</v>
      </c>
      <c r="B260" s="6" t="str">
        <f t="shared" si="10"/>
        <v>13258</v>
      </c>
      <c r="C260" s="1" t="s">
        <v>8</v>
      </c>
      <c r="D260" s="1" t="s">
        <v>105</v>
      </c>
      <c r="E260" s="6" t="str">
        <f>"011"</f>
        <v>011</v>
      </c>
      <c r="F260" s="6">
        <v>2024</v>
      </c>
      <c r="G260" s="7">
        <v>15759300</v>
      </c>
      <c r="H260" s="7">
        <v>13915300</v>
      </c>
      <c r="I260" s="7">
        <v>1844000</v>
      </c>
    </row>
    <row r="261" spans="1:9" x14ac:dyDescent="0.2">
      <c r="A261" s="1" t="s">
        <v>83</v>
      </c>
      <c r="B261" s="6" t="str">
        <f t="shared" si="10"/>
        <v>13258</v>
      </c>
      <c r="C261" s="1" t="s">
        <v>8</v>
      </c>
      <c r="D261" s="1" t="s">
        <v>105</v>
      </c>
      <c r="E261" s="6" t="str">
        <f>"012"</f>
        <v>012</v>
      </c>
      <c r="F261" s="6">
        <v>2024</v>
      </c>
      <c r="G261" s="7">
        <v>20024900</v>
      </c>
      <c r="H261" s="7">
        <v>14820000</v>
      </c>
      <c r="I261" s="7">
        <v>5204900</v>
      </c>
    </row>
    <row r="262" spans="1:9" x14ac:dyDescent="0.2">
      <c r="A262" s="1" t="s">
        <v>83</v>
      </c>
      <c r="B262" s="6" t="str">
        <f t="shared" si="10"/>
        <v>13258</v>
      </c>
      <c r="C262" s="1" t="s">
        <v>8</v>
      </c>
      <c r="D262" s="1" t="s">
        <v>105</v>
      </c>
      <c r="E262" s="6" t="str">
        <f>"013"</f>
        <v>013</v>
      </c>
      <c r="F262" s="6">
        <v>2024</v>
      </c>
      <c r="G262" s="7">
        <v>17874300</v>
      </c>
      <c r="H262" s="7">
        <v>15607300</v>
      </c>
      <c r="I262" s="7">
        <v>2267000</v>
      </c>
    </row>
    <row r="263" spans="1:9" x14ac:dyDescent="0.2">
      <c r="A263" s="1" t="s">
        <v>83</v>
      </c>
      <c r="B263" s="6" t="str">
        <f t="shared" si="10"/>
        <v>13258</v>
      </c>
      <c r="C263" s="1" t="s">
        <v>8</v>
      </c>
      <c r="D263" s="1" t="s">
        <v>105</v>
      </c>
      <c r="E263" s="6" t="str">
        <f>"014"</f>
        <v>014</v>
      </c>
      <c r="F263" s="6">
        <v>2024</v>
      </c>
      <c r="G263" s="7">
        <v>11999300</v>
      </c>
      <c r="H263" s="7">
        <v>11035000</v>
      </c>
      <c r="I263" s="7">
        <v>964300</v>
      </c>
    </row>
    <row r="264" spans="1:9" x14ac:dyDescent="0.2">
      <c r="A264" s="1" t="s">
        <v>83</v>
      </c>
      <c r="B264" s="6" t="str">
        <f t="shared" si="10"/>
        <v>13258</v>
      </c>
      <c r="C264" s="1" t="s">
        <v>8</v>
      </c>
      <c r="D264" s="1" t="s">
        <v>105</v>
      </c>
      <c r="E264" s="6" t="str">
        <f>"015"</f>
        <v>015</v>
      </c>
      <c r="F264" s="6">
        <v>2024</v>
      </c>
      <c r="G264" s="7">
        <v>15523900</v>
      </c>
      <c r="H264" s="7">
        <v>15125500</v>
      </c>
      <c r="I264" s="7">
        <v>398400</v>
      </c>
    </row>
    <row r="265" spans="1:9" x14ac:dyDescent="0.2">
      <c r="A265" s="1" t="s">
        <v>83</v>
      </c>
      <c r="B265" s="6" t="str">
        <f t="shared" si="10"/>
        <v>13258</v>
      </c>
      <c r="C265" s="1" t="s">
        <v>8</v>
      </c>
      <c r="D265" s="1" t="s">
        <v>105</v>
      </c>
      <c r="E265" s="6" t="str">
        <f>"016"</f>
        <v>016</v>
      </c>
      <c r="F265" s="6">
        <v>2024</v>
      </c>
      <c r="G265" s="7">
        <v>2181600</v>
      </c>
      <c r="H265" s="7">
        <v>2222300</v>
      </c>
      <c r="I265" s="7">
        <v>-40700</v>
      </c>
    </row>
    <row r="266" spans="1:9" x14ac:dyDescent="0.2">
      <c r="A266" s="1" t="s">
        <v>83</v>
      </c>
      <c r="B266" s="6" t="str">
        <f t="shared" si="10"/>
        <v>13258</v>
      </c>
      <c r="C266" s="1" t="s">
        <v>8</v>
      </c>
      <c r="D266" s="1" t="s">
        <v>105</v>
      </c>
      <c r="E266" s="6" t="str">
        <f>"017"</f>
        <v>017</v>
      </c>
      <c r="F266" s="6">
        <v>2024</v>
      </c>
      <c r="G266" s="7">
        <v>1680800</v>
      </c>
      <c r="H266" s="7">
        <v>1598500</v>
      </c>
      <c r="I266" s="7">
        <v>82300</v>
      </c>
    </row>
    <row r="267" spans="1:9" x14ac:dyDescent="0.2">
      <c r="A267" s="1" t="s">
        <v>83</v>
      </c>
      <c r="B267" s="6" t="str">
        <f t="shared" ref="B267:B274" si="11">"13281"</f>
        <v>13281</v>
      </c>
      <c r="C267" s="1" t="s">
        <v>8</v>
      </c>
      <c r="D267" s="1" t="s">
        <v>106</v>
      </c>
      <c r="E267" s="6" t="str">
        <f>"004"</f>
        <v>004</v>
      </c>
      <c r="F267" s="6">
        <v>1999</v>
      </c>
      <c r="G267" s="7">
        <v>25654500</v>
      </c>
      <c r="H267" s="7">
        <v>8817300</v>
      </c>
      <c r="I267" s="7">
        <v>16837200</v>
      </c>
    </row>
    <row r="268" spans="1:9" x14ac:dyDescent="0.2">
      <c r="A268" s="1" t="s">
        <v>83</v>
      </c>
      <c r="B268" s="6" t="str">
        <f t="shared" si="11"/>
        <v>13281</v>
      </c>
      <c r="C268" s="1" t="s">
        <v>8</v>
      </c>
      <c r="D268" s="1" t="s">
        <v>106</v>
      </c>
      <c r="E268" s="6" t="str">
        <f>"005"</f>
        <v>005</v>
      </c>
      <c r="F268" s="6">
        <v>2010</v>
      </c>
      <c r="G268" s="7">
        <v>19076400</v>
      </c>
      <c r="H268" s="7">
        <v>10110400</v>
      </c>
      <c r="I268" s="7">
        <v>8966000</v>
      </c>
    </row>
    <row r="269" spans="1:9" x14ac:dyDescent="0.2">
      <c r="A269" s="1" t="s">
        <v>83</v>
      </c>
      <c r="B269" s="6" t="str">
        <f t="shared" si="11"/>
        <v>13281</v>
      </c>
      <c r="C269" s="1" t="s">
        <v>8</v>
      </c>
      <c r="D269" s="1" t="s">
        <v>106</v>
      </c>
      <c r="E269" s="6" t="str">
        <f>"006"</f>
        <v>006</v>
      </c>
      <c r="F269" s="6">
        <v>2015</v>
      </c>
      <c r="G269" s="7">
        <v>25264300</v>
      </c>
      <c r="H269" s="7">
        <v>2485400</v>
      </c>
      <c r="I269" s="7">
        <v>22778900</v>
      </c>
    </row>
    <row r="270" spans="1:9" x14ac:dyDescent="0.2">
      <c r="A270" s="1" t="s">
        <v>83</v>
      </c>
      <c r="B270" s="6" t="str">
        <f t="shared" si="11"/>
        <v>13281</v>
      </c>
      <c r="C270" s="1" t="s">
        <v>8</v>
      </c>
      <c r="D270" s="1" t="s">
        <v>106</v>
      </c>
      <c r="E270" s="6" t="str">
        <f>"007"</f>
        <v>007</v>
      </c>
      <c r="F270" s="6">
        <v>2015</v>
      </c>
      <c r="G270" s="7">
        <v>84638500</v>
      </c>
      <c r="H270" s="7">
        <v>1111800</v>
      </c>
      <c r="I270" s="7">
        <v>83526700</v>
      </c>
    </row>
    <row r="271" spans="1:9" x14ac:dyDescent="0.2">
      <c r="A271" s="1" t="s">
        <v>83</v>
      </c>
      <c r="B271" s="6" t="str">
        <f t="shared" si="11"/>
        <v>13281</v>
      </c>
      <c r="C271" s="1" t="s">
        <v>8</v>
      </c>
      <c r="D271" s="1" t="s">
        <v>106</v>
      </c>
      <c r="E271" s="6" t="str">
        <f>"008"</f>
        <v>008</v>
      </c>
      <c r="F271" s="6">
        <v>2018</v>
      </c>
      <c r="G271" s="7">
        <v>11207000</v>
      </c>
      <c r="H271" s="7">
        <v>7376600</v>
      </c>
      <c r="I271" s="7">
        <v>3830400</v>
      </c>
    </row>
    <row r="272" spans="1:9" x14ac:dyDescent="0.2">
      <c r="A272" s="1" t="s">
        <v>83</v>
      </c>
      <c r="B272" s="6" t="str">
        <f t="shared" si="11"/>
        <v>13281</v>
      </c>
      <c r="C272" s="1" t="s">
        <v>8</v>
      </c>
      <c r="D272" s="1" t="s">
        <v>106</v>
      </c>
      <c r="E272" s="6" t="str">
        <f>"009"</f>
        <v>009</v>
      </c>
      <c r="F272" s="6">
        <v>2022</v>
      </c>
      <c r="G272" s="7">
        <v>32263100</v>
      </c>
      <c r="H272" s="7">
        <v>36800</v>
      </c>
      <c r="I272" s="7">
        <v>32226300</v>
      </c>
    </row>
    <row r="273" spans="1:9" x14ac:dyDescent="0.2">
      <c r="A273" s="1" t="s">
        <v>83</v>
      </c>
      <c r="B273" s="6" t="str">
        <f t="shared" si="11"/>
        <v>13281</v>
      </c>
      <c r="C273" s="1" t="s">
        <v>8</v>
      </c>
      <c r="D273" s="1" t="s">
        <v>106</v>
      </c>
      <c r="E273" s="6" t="str">
        <f>"010"</f>
        <v>010</v>
      </c>
      <c r="F273" s="6">
        <v>2024</v>
      </c>
      <c r="G273" s="7">
        <v>11172700</v>
      </c>
      <c r="H273" s="7">
        <v>9081100</v>
      </c>
      <c r="I273" s="7">
        <v>2091600</v>
      </c>
    </row>
    <row r="274" spans="1:9" x14ac:dyDescent="0.2">
      <c r="A274" s="1" t="s">
        <v>83</v>
      </c>
      <c r="B274" s="6" t="str">
        <f t="shared" si="11"/>
        <v>13281</v>
      </c>
      <c r="C274" s="1" t="s">
        <v>8</v>
      </c>
      <c r="D274" s="1" t="s">
        <v>106</v>
      </c>
      <c r="E274" s="6" t="str">
        <f>"011"</f>
        <v>011</v>
      </c>
      <c r="F274" s="6">
        <v>2024</v>
      </c>
      <c r="G274" s="7">
        <v>75700</v>
      </c>
      <c r="H274" s="7">
        <v>82600</v>
      </c>
      <c r="I274" s="7">
        <v>-6900</v>
      </c>
    </row>
    <row r="275" spans="1:9" x14ac:dyDescent="0.2">
      <c r="A275" s="1" t="s">
        <v>83</v>
      </c>
      <c r="B275" s="6" t="str">
        <f t="shared" ref="B275:B282" si="12">"13282"</f>
        <v>13282</v>
      </c>
      <c r="C275" s="1" t="s">
        <v>8</v>
      </c>
      <c r="D275" s="1" t="s">
        <v>107</v>
      </c>
      <c r="E275" s="6" t="str">
        <f>"008"</f>
        <v>008</v>
      </c>
      <c r="F275" s="6">
        <v>2002</v>
      </c>
      <c r="G275" s="7">
        <v>152403700</v>
      </c>
      <c r="H275" s="7">
        <v>20781900</v>
      </c>
      <c r="I275" s="7">
        <v>131621800</v>
      </c>
    </row>
    <row r="276" spans="1:9" x14ac:dyDescent="0.2">
      <c r="A276" s="1" t="s">
        <v>83</v>
      </c>
      <c r="B276" s="6" t="str">
        <f t="shared" si="12"/>
        <v>13282</v>
      </c>
      <c r="C276" s="1" t="s">
        <v>8</v>
      </c>
      <c r="D276" s="1" t="s">
        <v>107</v>
      </c>
      <c r="E276" s="6" t="str">
        <f>"009"</f>
        <v>009</v>
      </c>
      <c r="F276" s="6">
        <v>2007</v>
      </c>
      <c r="G276" s="7">
        <v>203755900</v>
      </c>
      <c r="H276" s="7">
        <v>11691000</v>
      </c>
      <c r="I276" s="7">
        <v>192064900</v>
      </c>
    </row>
    <row r="277" spans="1:9" x14ac:dyDescent="0.2">
      <c r="A277" s="1" t="s">
        <v>83</v>
      </c>
      <c r="B277" s="6" t="str">
        <f t="shared" si="12"/>
        <v>13282</v>
      </c>
      <c r="C277" s="1" t="s">
        <v>8</v>
      </c>
      <c r="D277" s="1" t="s">
        <v>107</v>
      </c>
      <c r="E277" s="6" t="str">
        <f>"011"</f>
        <v>011</v>
      </c>
      <c r="F277" s="6">
        <v>2015</v>
      </c>
      <c r="G277" s="7">
        <v>121134800</v>
      </c>
      <c r="H277" s="7">
        <v>31208700</v>
      </c>
      <c r="I277" s="7">
        <v>89926100</v>
      </c>
    </row>
    <row r="278" spans="1:9" x14ac:dyDescent="0.2">
      <c r="A278" s="1" t="s">
        <v>83</v>
      </c>
      <c r="B278" s="6" t="str">
        <f t="shared" si="12"/>
        <v>13282</v>
      </c>
      <c r="C278" s="1" t="s">
        <v>8</v>
      </c>
      <c r="D278" s="1" t="s">
        <v>107</v>
      </c>
      <c r="E278" s="6" t="str">
        <f>"012"</f>
        <v>012</v>
      </c>
      <c r="F278" s="6">
        <v>2016</v>
      </c>
      <c r="G278" s="7">
        <v>35043300</v>
      </c>
      <c r="H278" s="7">
        <v>3659900</v>
      </c>
      <c r="I278" s="7">
        <v>31383400</v>
      </c>
    </row>
    <row r="279" spans="1:9" x14ac:dyDescent="0.2">
      <c r="A279" s="1" t="s">
        <v>83</v>
      </c>
      <c r="B279" s="6" t="str">
        <f t="shared" si="12"/>
        <v>13282</v>
      </c>
      <c r="C279" s="1" t="s">
        <v>8</v>
      </c>
      <c r="D279" s="1" t="s">
        <v>107</v>
      </c>
      <c r="E279" s="6" t="str">
        <f>"013"</f>
        <v>013</v>
      </c>
      <c r="F279" s="6">
        <v>2017</v>
      </c>
      <c r="G279" s="7">
        <v>70933800</v>
      </c>
      <c r="H279" s="7">
        <v>618200</v>
      </c>
      <c r="I279" s="7">
        <v>70315600</v>
      </c>
    </row>
    <row r="280" spans="1:9" x14ac:dyDescent="0.2">
      <c r="A280" s="1" t="s">
        <v>83</v>
      </c>
      <c r="B280" s="6" t="str">
        <f t="shared" si="12"/>
        <v>13282</v>
      </c>
      <c r="C280" s="1" t="s">
        <v>8</v>
      </c>
      <c r="D280" s="1" t="s">
        <v>107</v>
      </c>
      <c r="E280" s="6" t="str">
        <f>"014"</f>
        <v>014</v>
      </c>
      <c r="F280" s="6">
        <v>2020</v>
      </c>
      <c r="G280" s="7">
        <v>30145000</v>
      </c>
      <c r="H280" s="7">
        <v>5288300</v>
      </c>
      <c r="I280" s="7">
        <v>24856700</v>
      </c>
    </row>
    <row r="281" spans="1:9" x14ac:dyDescent="0.2">
      <c r="A281" s="1" t="s">
        <v>83</v>
      </c>
      <c r="B281" s="6" t="str">
        <f t="shared" si="12"/>
        <v>13282</v>
      </c>
      <c r="C281" s="1" t="s">
        <v>8</v>
      </c>
      <c r="D281" s="1" t="s">
        <v>107</v>
      </c>
      <c r="E281" s="6" t="str">
        <f>"015"</f>
        <v>015</v>
      </c>
      <c r="F281" s="6">
        <v>2022</v>
      </c>
      <c r="G281" s="7">
        <v>72621200</v>
      </c>
      <c r="H281" s="7">
        <v>47666400</v>
      </c>
      <c r="I281" s="7">
        <v>24954800</v>
      </c>
    </row>
    <row r="282" spans="1:9" x14ac:dyDescent="0.2">
      <c r="A282" s="1" t="s">
        <v>83</v>
      </c>
      <c r="B282" s="6" t="str">
        <f t="shared" si="12"/>
        <v>13282</v>
      </c>
      <c r="C282" s="1" t="s">
        <v>8</v>
      </c>
      <c r="D282" s="1" t="s">
        <v>107</v>
      </c>
      <c r="E282" s="6" t="str">
        <f>"016"</f>
        <v>016</v>
      </c>
      <c r="F282" s="6">
        <v>2023</v>
      </c>
      <c r="G282" s="7">
        <v>9592500</v>
      </c>
      <c r="H282" s="7">
        <v>0</v>
      </c>
      <c r="I282" s="7">
        <v>9592500</v>
      </c>
    </row>
    <row r="283" spans="1:9" x14ac:dyDescent="0.2">
      <c r="A283" s="1" t="s">
        <v>83</v>
      </c>
      <c r="B283" s="6" t="str">
        <f>"13286"</f>
        <v>13286</v>
      </c>
      <c r="C283" s="1" t="s">
        <v>8</v>
      </c>
      <c r="D283" s="1" t="s">
        <v>108</v>
      </c>
      <c r="E283" s="6" t="str">
        <f>"008"</f>
        <v>008</v>
      </c>
      <c r="F283" s="6">
        <v>2017</v>
      </c>
      <c r="G283" s="7">
        <v>188425000</v>
      </c>
      <c r="H283" s="7">
        <v>27710300</v>
      </c>
      <c r="I283" s="7">
        <v>160714700</v>
      </c>
    </row>
    <row r="284" spans="1:9" x14ac:dyDescent="0.2">
      <c r="A284" s="1" t="s">
        <v>83</v>
      </c>
      <c r="B284" s="6" t="str">
        <f>"13286"</f>
        <v>13286</v>
      </c>
      <c r="C284" s="1" t="s">
        <v>8</v>
      </c>
      <c r="D284" s="1" t="s">
        <v>108</v>
      </c>
      <c r="E284" s="6" t="str">
        <f>"009"</f>
        <v>009</v>
      </c>
      <c r="F284" s="6">
        <v>2017</v>
      </c>
      <c r="G284" s="7">
        <v>99558200</v>
      </c>
      <c r="H284" s="7">
        <v>7576200</v>
      </c>
      <c r="I284" s="7">
        <v>91982000</v>
      </c>
    </row>
    <row r="285" spans="1:9" x14ac:dyDescent="0.2">
      <c r="A285" s="1" t="s">
        <v>83</v>
      </c>
      <c r="B285" s="6" t="str">
        <f>"13286"</f>
        <v>13286</v>
      </c>
      <c r="C285" s="1" t="s">
        <v>8</v>
      </c>
      <c r="D285" s="1" t="s">
        <v>108</v>
      </c>
      <c r="E285" s="6" t="str">
        <f>"010"</f>
        <v>010</v>
      </c>
      <c r="F285" s="6">
        <v>2020</v>
      </c>
      <c r="G285" s="7">
        <v>9186000</v>
      </c>
      <c r="H285" s="7">
        <v>1795300</v>
      </c>
      <c r="I285" s="7">
        <v>7390700</v>
      </c>
    </row>
    <row r="286" spans="1:9" x14ac:dyDescent="0.2">
      <c r="A286" s="1" t="s">
        <v>83</v>
      </c>
      <c r="B286" s="6" t="str">
        <f>"13286"</f>
        <v>13286</v>
      </c>
      <c r="C286" s="1" t="s">
        <v>8</v>
      </c>
      <c r="D286" s="1" t="s">
        <v>108</v>
      </c>
      <c r="E286" s="6" t="str">
        <f>"011"</f>
        <v>011</v>
      </c>
      <c r="F286" s="6">
        <v>2024</v>
      </c>
      <c r="G286" s="7">
        <v>77990300</v>
      </c>
      <c r="H286" s="7">
        <v>12656600</v>
      </c>
      <c r="I286" s="7">
        <v>65333700</v>
      </c>
    </row>
    <row r="287" spans="1:9" x14ac:dyDescent="0.2">
      <c r="A287" s="1" t="s">
        <v>109</v>
      </c>
      <c r="B287" s="6" t="str">
        <f>"14136"</f>
        <v>14136</v>
      </c>
      <c r="C287" s="1" t="s">
        <v>12</v>
      </c>
      <c r="D287" s="1" t="s">
        <v>110</v>
      </c>
      <c r="E287" s="6" t="str">
        <f>"001"</f>
        <v>001</v>
      </c>
      <c r="F287" s="6">
        <v>2017</v>
      </c>
      <c r="G287" s="7">
        <v>11473200</v>
      </c>
      <c r="H287" s="7">
        <v>5081200</v>
      </c>
      <c r="I287" s="7">
        <v>6392000</v>
      </c>
    </row>
    <row r="288" spans="1:9" x14ac:dyDescent="0.2">
      <c r="A288" s="1" t="s">
        <v>109</v>
      </c>
      <c r="B288" s="6" t="str">
        <f>"14146"</f>
        <v>14146</v>
      </c>
      <c r="C288" s="1" t="s">
        <v>12</v>
      </c>
      <c r="D288" s="1" t="s">
        <v>111</v>
      </c>
      <c r="E288" s="6" t="str">
        <f>"004"</f>
        <v>004</v>
      </c>
      <c r="F288" s="6">
        <v>2006</v>
      </c>
      <c r="G288" s="7">
        <v>19967400</v>
      </c>
      <c r="H288" s="7">
        <v>894000</v>
      </c>
      <c r="I288" s="7">
        <v>19073400</v>
      </c>
    </row>
    <row r="289" spans="1:9" x14ac:dyDescent="0.2">
      <c r="A289" s="1" t="s">
        <v>109</v>
      </c>
      <c r="B289" s="6" t="str">
        <f>"14146"</f>
        <v>14146</v>
      </c>
      <c r="C289" s="1" t="s">
        <v>12</v>
      </c>
      <c r="D289" s="1" t="s">
        <v>111</v>
      </c>
      <c r="E289" s="6" t="str">
        <f>"005"</f>
        <v>005</v>
      </c>
      <c r="F289" s="6">
        <v>2015</v>
      </c>
      <c r="G289" s="7">
        <v>18811800</v>
      </c>
      <c r="H289" s="7">
        <v>297600</v>
      </c>
      <c r="I289" s="7">
        <v>18514200</v>
      </c>
    </row>
    <row r="290" spans="1:9" x14ac:dyDescent="0.2">
      <c r="A290" s="1" t="s">
        <v>109</v>
      </c>
      <c r="B290" s="6" t="str">
        <f>"14176"</f>
        <v>14176</v>
      </c>
      <c r="C290" s="1" t="s">
        <v>12</v>
      </c>
      <c r="D290" s="1" t="s">
        <v>76</v>
      </c>
      <c r="E290" s="6" t="str">
        <f>"003"</f>
        <v>003</v>
      </c>
      <c r="F290" s="6">
        <v>2024</v>
      </c>
      <c r="G290" s="7">
        <v>7547800</v>
      </c>
      <c r="H290" s="7">
        <v>7747900</v>
      </c>
      <c r="I290" s="7">
        <v>-200100</v>
      </c>
    </row>
    <row r="291" spans="1:9" x14ac:dyDescent="0.2">
      <c r="A291" s="1" t="s">
        <v>109</v>
      </c>
      <c r="B291" s="6" t="str">
        <f>"14177"</f>
        <v>14177</v>
      </c>
      <c r="C291" s="1" t="s">
        <v>12</v>
      </c>
      <c r="D291" s="1" t="s">
        <v>112</v>
      </c>
      <c r="E291" s="6" t="str">
        <f>"003"</f>
        <v>003</v>
      </c>
      <c r="F291" s="6">
        <v>2011</v>
      </c>
      <c r="G291" s="7">
        <v>9066800</v>
      </c>
      <c r="H291" s="7">
        <v>912700</v>
      </c>
      <c r="I291" s="7">
        <v>8154100</v>
      </c>
    </row>
    <row r="292" spans="1:9" x14ac:dyDescent="0.2">
      <c r="A292" s="1" t="s">
        <v>109</v>
      </c>
      <c r="B292" s="6" t="str">
        <f>"14206"</f>
        <v>14206</v>
      </c>
      <c r="C292" s="1" t="s">
        <v>8</v>
      </c>
      <c r="D292" s="1" t="s">
        <v>113</v>
      </c>
      <c r="E292" s="6" t="str">
        <f>"006"</f>
        <v>006</v>
      </c>
      <c r="F292" s="6">
        <v>2009</v>
      </c>
      <c r="G292" s="7">
        <v>5766000</v>
      </c>
      <c r="H292" s="7">
        <v>806300</v>
      </c>
      <c r="I292" s="7">
        <v>4959700</v>
      </c>
    </row>
    <row r="293" spans="1:9" x14ac:dyDescent="0.2">
      <c r="A293" s="1" t="s">
        <v>109</v>
      </c>
      <c r="B293" s="6" t="str">
        <f>"14206"</f>
        <v>14206</v>
      </c>
      <c r="C293" s="1" t="s">
        <v>8</v>
      </c>
      <c r="D293" s="1" t="s">
        <v>113</v>
      </c>
      <c r="E293" s="6" t="str">
        <f>"007"</f>
        <v>007</v>
      </c>
      <c r="F293" s="6">
        <v>2016</v>
      </c>
      <c r="G293" s="7">
        <v>37068400</v>
      </c>
      <c r="H293" s="7">
        <v>0</v>
      </c>
      <c r="I293" s="7">
        <v>37068400</v>
      </c>
    </row>
    <row r="294" spans="1:9" x14ac:dyDescent="0.2">
      <c r="A294" s="1" t="s">
        <v>109</v>
      </c>
      <c r="B294" s="6" t="str">
        <f>"14206"</f>
        <v>14206</v>
      </c>
      <c r="C294" s="1" t="s">
        <v>8</v>
      </c>
      <c r="D294" s="1" t="s">
        <v>113</v>
      </c>
      <c r="E294" s="6" t="str">
        <f>"008"</f>
        <v>008</v>
      </c>
      <c r="F294" s="6">
        <v>2018</v>
      </c>
      <c r="G294" s="7">
        <v>59629500</v>
      </c>
      <c r="H294" s="7">
        <v>7304500</v>
      </c>
      <c r="I294" s="7">
        <v>52325000</v>
      </c>
    </row>
    <row r="295" spans="1:9" x14ac:dyDescent="0.2">
      <c r="A295" s="1" t="s">
        <v>109</v>
      </c>
      <c r="B295" s="6" t="str">
        <f>"14206"</f>
        <v>14206</v>
      </c>
      <c r="C295" s="1" t="s">
        <v>8</v>
      </c>
      <c r="D295" s="1" t="s">
        <v>113</v>
      </c>
      <c r="E295" s="6" t="str">
        <f>"009"</f>
        <v>009</v>
      </c>
      <c r="F295" s="6">
        <v>2019</v>
      </c>
      <c r="G295" s="7">
        <v>4623800</v>
      </c>
      <c r="H295" s="7">
        <v>1394800</v>
      </c>
      <c r="I295" s="7">
        <v>3229000</v>
      </c>
    </row>
    <row r="296" spans="1:9" x14ac:dyDescent="0.2">
      <c r="A296" s="1" t="s">
        <v>109</v>
      </c>
      <c r="B296" s="6" t="str">
        <f>"14226"</f>
        <v>14226</v>
      </c>
      <c r="C296" s="1" t="s">
        <v>8</v>
      </c>
      <c r="D296" s="1" t="s">
        <v>114</v>
      </c>
      <c r="E296" s="6" t="str">
        <f>"002"</f>
        <v>002</v>
      </c>
      <c r="F296" s="6">
        <v>2015</v>
      </c>
      <c r="G296" s="7">
        <v>31385200</v>
      </c>
      <c r="H296" s="7">
        <v>7361500</v>
      </c>
      <c r="I296" s="7">
        <v>24023700</v>
      </c>
    </row>
    <row r="297" spans="1:9" x14ac:dyDescent="0.2">
      <c r="A297" s="1" t="s">
        <v>109</v>
      </c>
      <c r="B297" s="6" t="str">
        <f>"14226"</f>
        <v>14226</v>
      </c>
      <c r="C297" s="1" t="s">
        <v>8</v>
      </c>
      <c r="D297" s="1" t="s">
        <v>114</v>
      </c>
      <c r="E297" s="6" t="str">
        <f>"003"</f>
        <v>003</v>
      </c>
      <c r="F297" s="6">
        <v>2016</v>
      </c>
      <c r="G297" s="7">
        <v>18465500</v>
      </c>
      <c r="H297" s="7">
        <v>4614800</v>
      </c>
      <c r="I297" s="7">
        <v>13850700</v>
      </c>
    </row>
    <row r="298" spans="1:9" x14ac:dyDescent="0.2">
      <c r="A298" s="1" t="s">
        <v>109</v>
      </c>
      <c r="B298" s="6" t="str">
        <f>"14230"</f>
        <v>14230</v>
      </c>
      <c r="C298" s="1" t="s">
        <v>8</v>
      </c>
      <c r="D298" s="1" t="s">
        <v>115</v>
      </c>
      <c r="E298" s="6" t="str">
        <f>"007"</f>
        <v>007</v>
      </c>
      <c r="F298" s="6">
        <v>2011</v>
      </c>
      <c r="G298" s="7">
        <v>7625000</v>
      </c>
      <c r="H298" s="7">
        <v>13800</v>
      </c>
      <c r="I298" s="7">
        <v>7611200</v>
      </c>
    </row>
    <row r="299" spans="1:9" x14ac:dyDescent="0.2">
      <c r="A299" s="1" t="s">
        <v>109</v>
      </c>
      <c r="B299" s="6" t="str">
        <f>"14230"</f>
        <v>14230</v>
      </c>
      <c r="C299" s="1" t="s">
        <v>8</v>
      </c>
      <c r="D299" s="1" t="s">
        <v>115</v>
      </c>
      <c r="E299" s="6" t="str">
        <f>"009"</f>
        <v>009</v>
      </c>
      <c r="F299" s="6">
        <v>2015</v>
      </c>
      <c r="G299" s="7">
        <v>16335500</v>
      </c>
      <c r="H299" s="7">
        <v>4051600</v>
      </c>
      <c r="I299" s="7">
        <v>12283900</v>
      </c>
    </row>
    <row r="300" spans="1:9" x14ac:dyDescent="0.2">
      <c r="A300" s="1" t="s">
        <v>109</v>
      </c>
      <c r="B300" s="6" t="str">
        <f>"14236"</f>
        <v>14236</v>
      </c>
      <c r="C300" s="1" t="s">
        <v>8</v>
      </c>
      <c r="D300" s="1" t="s">
        <v>116</v>
      </c>
      <c r="E300" s="6" t="str">
        <f>"004"</f>
        <v>004</v>
      </c>
      <c r="F300" s="6">
        <v>2007</v>
      </c>
      <c r="G300" s="7">
        <v>27674300</v>
      </c>
      <c r="H300" s="7">
        <v>4439400</v>
      </c>
      <c r="I300" s="7">
        <v>23234900</v>
      </c>
    </row>
    <row r="301" spans="1:9" x14ac:dyDescent="0.2">
      <c r="A301" s="1" t="s">
        <v>109</v>
      </c>
      <c r="B301" s="6" t="str">
        <f>"14236"</f>
        <v>14236</v>
      </c>
      <c r="C301" s="1" t="s">
        <v>8</v>
      </c>
      <c r="D301" s="1" t="s">
        <v>116</v>
      </c>
      <c r="E301" s="6" t="str">
        <f>"005"</f>
        <v>005</v>
      </c>
      <c r="F301" s="6">
        <v>2015</v>
      </c>
      <c r="G301" s="7">
        <v>25369200</v>
      </c>
      <c r="H301" s="7">
        <v>3783300</v>
      </c>
      <c r="I301" s="7">
        <v>21585900</v>
      </c>
    </row>
    <row r="302" spans="1:9" x14ac:dyDescent="0.2">
      <c r="A302" s="1" t="s">
        <v>109</v>
      </c>
      <c r="B302" s="6" t="str">
        <f>"14236"</f>
        <v>14236</v>
      </c>
      <c r="C302" s="1" t="s">
        <v>8</v>
      </c>
      <c r="D302" s="1" t="s">
        <v>116</v>
      </c>
      <c r="E302" s="6" t="str">
        <f>"006"</f>
        <v>006</v>
      </c>
      <c r="F302" s="6">
        <v>2017</v>
      </c>
      <c r="G302" s="7">
        <v>15012200</v>
      </c>
      <c r="H302" s="7">
        <v>12238800</v>
      </c>
      <c r="I302" s="7">
        <v>2773400</v>
      </c>
    </row>
    <row r="303" spans="1:9" x14ac:dyDescent="0.2">
      <c r="A303" s="1" t="s">
        <v>109</v>
      </c>
      <c r="B303" s="6" t="str">
        <f>"14241"</f>
        <v>14241</v>
      </c>
      <c r="C303" s="1" t="s">
        <v>8</v>
      </c>
      <c r="D303" s="1" t="s">
        <v>117</v>
      </c>
      <c r="E303" s="6" t="str">
        <f>"004"</f>
        <v>004</v>
      </c>
      <c r="F303" s="6">
        <v>2018</v>
      </c>
      <c r="G303" s="7">
        <v>26230300</v>
      </c>
      <c r="H303" s="7">
        <v>7477100</v>
      </c>
      <c r="I303" s="7">
        <v>18753200</v>
      </c>
    </row>
    <row r="304" spans="1:9" x14ac:dyDescent="0.2">
      <c r="A304" s="1" t="s">
        <v>109</v>
      </c>
      <c r="B304" s="6" t="str">
        <f>"14251"</f>
        <v>14251</v>
      </c>
      <c r="C304" s="1" t="s">
        <v>8</v>
      </c>
      <c r="D304" s="1" t="s">
        <v>118</v>
      </c>
      <c r="E304" s="6" t="str">
        <f>"004"</f>
        <v>004</v>
      </c>
      <c r="F304" s="6">
        <v>2009</v>
      </c>
      <c r="G304" s="7">
        <v>2869000</v>
      </c>
      <c r="H304" s="7">
        <v>1548600</v>
      </c>
      <c r="I304" s="7">
        <v>1320400</v>
      </c>
    </row>
    <row r="305" spans="1:9" x14ac:dyDescent="0.2">
      <c r="A305" s="1" t="s">
        <v>109</v>
      </c>
      <c r="B305" s="6" t="str">
        <f>"14251"</f>
        <v>14251</v>
      </c>
      <c r="C305" s="1" t="s">
        <v>8</v>
      </c>
      <c r="D305" s="1" t="s">
        <v>118</v>
      </c>
      <c r="E305" s="6" t="str">
        <f>"005"</f>
        <v>005</v>
      </c>
      <c r="F305" s="6">
        <v>2013</v>
      </c>
      <c r="G305" s="7">
        <v>5948400</v>
      </c>
      <c r="H305" s="7">
        <v>2333200</v>
      </c>
      <c r="I305" s="7">
        <v>3615200</v>
      </c>
    </row>
    <row r="306" spans="1:9" x14ac:dyDescent="0.2">
      <c r="A306" s="1" t="s">
        <v>109</v>
      </c>
      <c r="B306" s="6" t="str">
        <f>"14251"</f>
        <v>14251</v>
      </c>
      <c r="C306" s="1" t="s">
        <v>8</v>
      </c>
      <c r="D306" s="1" t="s">
        <v>118</v>
      </c>
      <c r="E306" s="6" t="str">
        <f>"006"</f>
        <v>006</v>
      </c>
      <c r="F306" s="6">
        <v>2021</v>
      </c>
      <c r="G306" s="7">
        <v>31154000</v>
      </c>
      <c r="H306" s="7">
        <v>21761900</v>
      </c>
      <c r="I306" s="7">
        <v>9392100</v>
      </c>
    </row>
    <row r="307" spans="1:9" x14ac:dyDescent="0.2">
      <c r="A307" s="1" t="s">
        <v>109</v>
      </c>
      <c r="B307" s="6" t="str">
        <f>"14251"</f>
        <v>14251</v>
      </c>
      <c r="C307" s="1" t="s">
        <v>8</v>
      </c>
      <c r="D307" s="1" t="s">
        <v>118</v>
      </c>
      <c r="E307" s="6" t="str">
        <f>"007"</f>
        <v>007</v>
      </c>
      <c r="F307" s="6">
        <v>2024</v>
      </c>
      <c r="G307" s="7">
        <v>13587700</v>
      </c>
      <c r="H307" s="7">
        <v>12606400</v>
      </c>
      <c r="I307" s="7">
        <v>981300</v>
      </c>
    </row>
    <row r="308" spans="1:9" x14ac:dyDescent="0.2">
      <c r="A308" s="1" t="s">
        <v>109</v>
      </c>
      <c r="B308" s="6" t="str">
        <f>"14292"</f>
        <v>14292</v>
      </c>
      <c r="C308" s="1" t="s">
        <v>8</v>
      </c>
      <c r="D308" s="1" t="s">
        <v>119</v>
      </c>
      <c r="E308" s="6" t="str">
        <f>"003"</f>
        <v>003</v>
      </c>
      <c r="F308" s="6">
        <v>2005</v>
      </c>
      <c r="G308" s="7">
        <v>12080500</v>
      </c>
      <c r="H308" s="7">
        <v>7038800</v>
      </c>
      <c r="I308" s="7">
        <v>5041700</v>
      </c>
    </row>
    <row r="309" spans="1:9" x14ac:dyDescent="0.2">
      <c r="A309" s="1" t="s">
        <v>109</v>
      </c>
      <c r="B309" s="6" t="str">
        <f>"14292"</f>
        <v>14292</v>
      </c>
      <c r="C309" s="1" t="s">
        <v>8</v>
      </c>
      <c r="D309" s="1" t="s">
        <v>119</v>
      </c>
      <c r="E309" s="6" t="str">
        <f>"005"</f>
        <v>005</v>
      </c>
      <c r="F309" s="6">
        <v>2008</v>
      </c>
      <c r="G309" s="7">
        <v>29782100</v>
      </c>
      <c r="H309" s="7">
        <v>1950300</v>
      </c>
      <c r="I309" s="7">
        <v>27831800</v>
      </c>
    </row>
    <row r="310" spans="1:9" x14ac:dyDescent="0.2">
      <c r="A310" s="1" t="s">
        <v>109</v>
      </c>
      <c r="B310" s="6" t="str">
        <f>"14292"</f>
        <v>14292</v>
      </c>
      <c r="C310" s="1" t="s">
        <v>8</v>
      </c>
      <c r="D310" s="1" t="s">
        <v>119</v>
      </c>
      <c r="E310" s="6" t="str">
        <f>"006"</f>
        <v>006</v>
      </c>
      <c r="F310" s="6">
        <v>2012</v>
      </c>
      <c r="G310" s="7">
        <v>13500100</v>
      </c>
      <c r="H310" s="7">
        <v>5279100</v>
      </c>
      <c r="I310" s="7">
        <v>8221000</v>
      </c>
    </row>
    <row r="311" spans="1:9" x14ac:dyDescent="0.2">
      <c r="A311" s="1" t="s">
        <v>109</v>
      </c>
      <c r="B311" s="6" t="str">
        <f>"14292"</f>
        <v>14292</v>
      </c>
      <c r="C311" s="1" t="s">
        <v>8</v>
      </c>
      <c r="D311" s="1" t="s">
        <v>119</v>
      </c>
      <c r="E311" s="6" t="str">
        <f>"007"</f>
        <v>007</v>
      </c>
      <c r="F311" s="6">
        <v>2017</v>
      </c>
      <c r="G311" s="7">
        <v>6923200</v>
      </c>
      <c r="H311" s="7">
        <v>22100</v>
      </c>
      <c r="I311" s="7">
        <v>6901100</v>
      </c>
    </row>
    <row r="312" spans="1:9" x14ac:dyDescent="0.2">
      <c r="A312" s="1" t="s">
        <v>109</v>
      </c>
      <c r="B312" s="6" t="str">
        <f>"14292"</f>
        <v>14292</v>
      </c>
      <c r="C312" s="1" t="s">
        <v>8</v>
      </c>
      <c r="D312" s="1" t="s">
        <v>119</v>
      </c>
      <c r="E312" s="6" t="str">
        <f>"009"</f>
        <v>009</v>
      </c>
      <c r="F312" s="6">
        <v>2022</v>
      </c>
      <c r="G312" s="7">
        <v>32383800</v>
      </c>
      <c r="H312" s="7">
        <v>2218600</v>
      </c>
      <c r="I312" s="7">
        <v>30165200</v>
      </c>
    </row>
    <row r="313" spans="1:9" x14ac:dyDescent="0.2">
      <c r="A313" s="1" t="s">
        <v>120</v>
      </c>
      <c r="B313" s="6" t="str">
        <f>"15014"</f>
        <v>15014</v>
      </c>
      <c r="C313" s="1" t="s">
        <v>6</v>
      </c>
      <c r="D313" s="1" t="s">
        <v>121</v>
      </c>
      <c r="E313" s="6" t="str">
        <f>"001A"</f>
        <v>001A</v>
      </c>
      <c r="F313" s="6">
        <v>2022</v>
      </c>
      <c r="G313" s="7">
        <v>80838800</v>
      </c>
      <c r="H313" s="7">
        <v>54144800</v>
      </c>
      <c r="I313" s="7">
        <v>26694000</v>
      </c>
    </row>
    <row r="314" spans="1:9" x14ac:dyDescent="0.2">
      <c r="A314" s="1" t="s">
        <v>120</v>
      </c>
      <c r="B314" s="6" t="str">
        <f>"15181"</f>
        <v>15181</v>
      </c>
      <c r="C314" s="1" t="s">
        <v>12</v>
      </c>
      <c r="D314" s="1" t="s">
        <v>122</v>
      </c>
      <c r="E314" s="6" t="str">
        <f>"001"</f>
        <v>001</v>
      </c>
      <c r="F314" s="6">
        <v>2008</v>
      </c>
      <c r="G314" s="7">
        <v>168917900</v>
      </c>
      <c r="H314" s="7">
        <v>42846400</v>
      </c>
      <c r="I314" s="7">
        <v>126071500</v>
      </c>
    </row>
    <row r="315" spans="1:9" x14ac:dyDescent="0.2">
      <c r="A315" s="1" t="s">
        <v>120</v>
      </c>
      <c r="B315" s="6" t="str">
        <f>"15181"</f>
        <v>15181</v>
      </c>
      <c r="C315" s="1" t="s">
        <v>12</v>
      </c>
      <c r="D315" s="1" t="s">
        <v>122</v>
      </c>
      <c r="E315" s="6" t="str">
        <f>"002"</f>
        <v>002</v>
      </c>
      <c r="F315" s="6">
        <v>2018</v>
      </c>
      <c r="G315" s="7">
        <v>19137300</v>
      </c>
      <c r="H315" s="7">
        <v>9301500</v>
      </c>
      <c r="I315" s="7">
        <v>9835800</v>
      </c>
    </row>
    <row r="316" spans="1:9" x14ac:dyDescent="0.2">
      <c r="A316" s="1" t="s">
        <v>120</v>
      </c>
      <c r="B316" s="6" t="str">
        <f t="shared" ref="B316:B325" si="13">"15281"</f>
        <v>15281</v>
      </c>
      <c r="C316" s="1" t="s">
        <v>8</v>
      </c>
      <c r="D316" s="1" t="s">
        <v>123</v>
      </c>
      <c r="E316" s="6" t="str">
        <f>"002"</f>
        <v>002</v>
      </c>
      <c r="F316" s="6">
        <v>1994</v>
      </c>
      <c r="G316" s="7">
        <v>114667300</v>
      </c>
      <c r="H316" s="7">
        <v>14128800</v>
      </c>
      <c r="I316" s="7">
        <v>100538500</v>
      </c>
    </row>
    <row r="317" spans="1:9" x14ac:dyDescent="0.2">
      <c r="A317" s="1" t="s">
        <v>120</v>
      </c>
      <c r="B317" s="6" t="str">
        <f t="shared" si="13"/>
        <v>15281</v>
      </c>
      <c r="C317" s="1" t="s">
        <v>8</v>
      </c>
      <c r="D317" s="1" t="s">
        <v>123</v>
      </c>
      <c r="E317" s="6" t="str">
        <f>"003"</f>
        <v>003</v>
      </c>
      <c r="F317" s="6">
        <v>2008</v>
      </c>
      <c r="G317" s="7">
        <v>7455100</v>
      </c>
      <c r="H317" s="7">
        <v>820400</v>
      </c>
      <c r="I317" s="7">
        <v>6634700</v>
      </c>
    </row>
    <row r="318" spans="1:9" x14ac:dyDescent="0.2">
      <c r="A318" s="1" t="s">
        <v>120</v>
      </c>
      <c r="B318" s="6" t="str">
        <f t="shared" si="13"/>
        <v>15281</v>
      </c>
      <c r="C318" s="1" t="s">
        <v>8</v>
      </c>
      <c r="D318" s="1" t="s">
        <v>123</v>
      </c>
      <c r="E318" s="6" t="str">
        <f>"004"</f>
        <v>004</v>
      </c>
      <c r="F318" s="6">
        <v>2013</v>
      </c>
      <c r="G318" s="7">
        <v>8651200</v>
      </c>
      <c r="H318" s="7">
        <v>407500</v>
      </c>
      <c r="I318" s="7">
        <v>8243700</v>
      </c>
    </row>
    <row r="319" spans="1:9" x14ac:dyDescent="0.2">
      <c r="A319" s="1" t="s">
        <v>120</v>
      </c>
      <c r="B319" s="6" t="str">
        <f t="shared" si="13"/>
        <v>15281</v>
      </c>
      <c r="C319" s="1" t="s">
        <v>8</v>
      </c>
      <c r="D319" s="1" t="s">
        <v>123</v>
      </c>
      <c r="E319" s="6" t="str">
        <f>"005"</f>
        <v>005</v>
      </c>
      <c r="F319" s="6">
        <v>2021</v>
      </c>
      <c r="G319" s="7">
        <v>5273200</v>
      </c>
      <c r="H319" s="7">
        <v>0</v>
      </c>
      <c r="I319" s="7">
        <v>5273200</v>
      </c>
    </row>
    <row r="320" spans="1:9" x14ac:dyDescent="0.2">
      <c r="A320" s="1" t="s">
        <v>120</v>
      </c>
      <c r="B320" s="6" t="str">
        <f t="shared" si="13"/>
        <v>15281</v>
      </c>
      <c r="C320" s="1" t="s">
        <v>8</v>
      </c>
      <c r="D320" s="1" t="s">
        <v>123</v>
      </c>
      <c r="E320" s="6" t="str">
        <f>"006"</f>
        <v>006</v>
      </c>
      <c r="F320" s="6">
        <v>2022</v>
      </c>
      <c r="G320" s="7">
        <v>14338600</v>
      </c>
      <c r="H320" s="7">
        <v>5227200</v>
      </c>
      <c r="I320" s="7">
        <v>9111400</v>
      </c>
    </row>
    <row r="321" spans="1:9" x14ac:dyDescent="0.2">
      <c r="A321" s="1" t="s">
        <v>120</v>
      </c>
      <c r="B321" s="6" t="str">
        <f t="shared" si="13"/>
        <v>15281</v>
      </c>
      <c r="C321" s="1" t="s">
        <v>8</v>
      </c>
      <c r="D321" s="1" t="s">
        <v>123</v>
      </c>
      <c r="E321" s="6" t="str">
        <f>"007"</f>
        <v>007</v>
      </c>
      <c r="F321" s="6">
        <v>2022</v>
      </c>
      <c r="G321" s="7">
        <v>23291100</v>
      </c>
      <c r="H321" s="7">
        <v>174500</v>
      </c>
      <c r="I321" s="7">
        <v>23116600</v>
      </c>
    </row>
    <row r="322" spans="1:9" x14ac:dyDescent="0.2">
      <c r="A322" s="1" t="s">
        <v>120</v>
      </c>
      <c r="B322" s="6" t="str">
        <f t="shared" si="13"/>
        <v>15281</v>
      </c>
      <c r="C322" s="1" t="s">
        <v>8</v>
      </c>
      <c r="D322" s="1" t="s">
        <v>123</v>
      </c>
      <c r="E322" s="6" t="str">
        <f>"008"</f>
        <v>008</v>
      </c>
      <c r="F322" s="6">
        <v>2023</v>
      </c>
      <c r="G322" s="7">
        <v>5517000</v>
      </c>
      <c r="H322" s="7">
        <v>1608100</v>
      </c>
      <c r="I322" s="7">
        <v>3908900</v>
      </c>
    </row>
    <row r="323" spans="1:9" x14ac:dyDescent="0.2">
      <c r="A323" s="1" t="s">
        <v>120</v>
      </c>
      <c r="B323" s="6" t="str">
        <f t="shared" si="13"/>
        <v>15281</v>
      </c>
      <c r="C323" s="1" t="s">
        <v>8</v>
      </c>
      <c r="D323" s="1" t="s">
        <v>123</v>
      </c>
      <c r="E323" s="6" t="str">
        <f>"009"</f>
        <v>009</v>
      </c>
      <c r="F323" s="6">
        <v>2024</v>
      </c>
      <c r="G323" s="7">
        <v>255700</v>
      </c>
      <c r="H323" s="7">
        <v>222800</v>
      </c>
      <c r="I323" s="7">
        <v>32900</v>
      </c>
    </row>
    <row r="324" spans="1:9" x14ac:dyDescent="0.2">
      <c r="A324" s="1" t="s">
        <v>120</v>
      </c>
      <c r="B324" s="6" t="str">
        <f t="shared" si="13"/>
        <v>15281</v>
      </c>
      <c r="C324" s="1" t="s">
        <v>8</v>
      </c>
      <c r="D324" s="1" t="s">
        <v>123</v>
      </c>
      <c r="E324" s="6" t="str">
        <f>"010"</f>
        <v>010</v>
      </c>
      <c r="F324" s="6">
        <v>2023</v>
      </c>
      <c r="G324" s="7">
        <v>9872400</v>
      </c>
      <c r="H324" s="7">
        <v>2109800</v>
      </c>
      <c r="I324" s="7">
        <v>7762600</v>
      </c>
    </row>
    <row r="325" spans="1:9" x14ac:dyDescent="0.2">
      <c r="A325" s="1" t="s">
        <v>120</v>
      </c>
      <c r="B325" s="6" t="str">
        <f t="shared" si="13"/>
        <v>15281</v>
      </c>
      <c r="C325" s="1" t="s">
        <v>8</v>
      </c>
      <c r="D325" s="1" t="s">
        <v>123</v>
      </c>
      <c r="E325" s="6" t="str">
        <f>"011"</f>
        <v>011</v>
      </c>
      <c r="F325" s="6">
        <v>2024</v>
      </c>
      <c r="G325" s="7">
        <v>366900</v>
      </c>
      <c r="H325" s="7">
        <v>452900</v>
      </c>
      <c r="I325" s="7">
        <v>-86000</v>
      </c>
    </row>
    <row r="326" spans="1:9" x14ac:dyDescent="0.2">
      <c r="A326" s="1" t="s">
        <v>124</v>
      </c>
      <c r="B326" s="6" t="str">
        <f>"16181"</f>
        <v>16181</v>
      </c>
      <c r="C326" s="1" t="s">
        <v>12</v>
      </c>
      <c r="D326" s="1" t="s">
        <v>125</v>
      </c>
      <c r="E326" s="6" t="str">
        <f>"002"</f>
        <v>002</v>
      </c>
      <c r="F326" s="6">
        <v>1999</v>
      </c>
      <c r="G326" s="7">
        <v>5151700</v>
      </c>
      <c r="H326" s="7">
        <v>312900</v>
      </c>
      <c r="I326" s="7">
        <v>4838800</v>
      </c>
    </row>
    <row r="327" spans="1:9" x14ac:dyDescent="0.2">
      <c r="A327" s="1" t="s">
        <v>124</v>
      </c>
      <c r="B327" s="6" t="str">
        <f>"16181"</f>
        <v>16181</v>
      </c>
      <c r="C327" s="1" t="s">
        <v>12</v>
      </c>
      <c r="D327" s="1" t="s">
        <v>125</v>
      </c>
      <c r="E327" s="6" t="str">
        <f>"003"</f>
        <v>003</v>
      </c>
      <c r="F327" s="6">
        <v>2011</v>
      </c>
      <c r="G327" s="7">
        <v>1748400</v>
      </c>
      <c r="H327" s="7">
        <v>53900</v>
      </c>
      <c r="I327" s="7">
        <v>1694500</v>
      </c>
    </row>
    <row r="328" spans="1:9" x14ac:dyDescent="0.2">
      <c r="A328" s="1" t="s">
        <v>124</v>
      </c>
      <c r="B328" s="6" t="str">
        <f t="shared" ref="B328:B333" si="14">"16281"</f>
        <v>16281</v>
      </c>
      <c r="C328" s="1" t="s">
        <v>8</v>
      </c>
      <c r="D328" s="1" t="s">
        <v>126</v>
      </c>
      <c r="E328" s="6" t="str">
        <f>"013"</f>
        <v>013</v>
      </c>
      <c r="F328" s="6">
        <v>2014</v>
      </c>
      <c r="G328" s="7">
        <v>43242600</v>
      </c>
      <c r="H328" s="7">
        <v>2400400</v>
      </c>
      <c r="I328" s="7">
        <v>40842200</v>
      </c>
    </row>
    <row r="329" spans="1:9" x14ac:dyDescent="0.2">
      <c r="A329" s="1" t="s">
        <v>124</v>
      </c>
      <c r="B329" s="6" t="str">
        <f t="shared" si="14"/>
        <v>16281</v>
      </c>
      <c r="C329" s="1" t="s">
        <v>8</v>
      </c>
      <c r="D329" s="1" t="s">
        <v>126</v>
      </c>
      <c r="E329" s="6" t="str">
        <f>"014"</f>
        <v>014</v>
      </c>
      <c r="F329" s="6">
        <v>2019</v>
      </c>
      <c r="G329" s="7">
        <v>7961700</v>
      </c>
      <c r="H329" s="7">
        <v>147700</v>
      </c>
      <c r="I329" s="7">
        <v>7814000</v>
      </c>
    </row>
    <row r="330" spans="1:9" x14ac:dyDescent="0.2">
      <c r="A330" s="1" t="s">
        <v>124</v>
      </c>
      <c r="B330" s="6" t="str">
        <f t="shared" si="14"/>
        <v>16281</v>
      </c>
      <c r="C330" s="1" t="s">
        <v>8</v>
      </c>
      <c r="D330" s="1" t="s">
        <v>126</v>
      </c>
      <c r="E330" s="6" t="str">
        <f>"015"</f>
        <v>015</v>
      </c>
      <c r="F330" s="6">
        <v>2020</v>
      </c>
      <c r="G330" s="7">
        <v>24211500</v>
      </c>
      <c r="H330" s="7">
        <v>377900</v>
      </c>
      <c r="I330" s="7">
        <v>23833600</v>
      </c>
    </row>
    <row r="331" spans="1:9" x14ac:dyDescent="0.2">
      <c r="A331" s="1" t="s">
        <v>124</v>
      </c>
      <c r="B331" s="6" t="str">
        <f t="shared" si="14"/>
        <v>16281</v>
      </c>
      <c r="C331" s="1" t="s">
        <v>8</v>
      </c>
      <c r="D331" s="1" t="s">
        <v>126</v>
      </c>
      <c r="E331" s="6" t="str">
        <f>"016"</f>
        <v>016</v>
      </c>
      <c r="F331" s="6">
        <v>2021</v>
      </c>
      <c r="G331" s="7">
        <v>3230700</v>
      </c>
      <c r="H331" s="7">
        <v>1954500</v>
      </c>
      <c r="I331" s="7">
        <v>1276200</v>
      </c>
    </row>
    <row r="332" spans="1:9" x14ac:dyDescent="0.2">
      <c r="A332" s="1" t="s">
        <v>124</v>
      </c>
      <c r="B332" s="6" t="str">
        <f t="shared" si="14"/>
        <v>16281</v>
      </c>
      <c r="C332" s="1" t="s">
        <v>8</v>
      </c>
      <c r="D332" s="1" t="s">
        <v>126</v>
      </c>
      <c r="E332" s="6" t="str">
        <f>"017"</f>
        <v>017</v>
      </c>
      <c r="F332" s="6">
        <v>2021</v>
      </c>
      <c r="G332" s="7">
        <v>24411900</v>
      </c>
      <c r="H332" s="7">
        <v>0</v>
      </c>
      <c r="I332" s="7">
        <v>24411900</v>
      </c>
    </row>
    <row r="333" spans="1:9" x14ac:dyDescent="0.2">
      <c r="A333" s="1" t="s">
        <v>124</v>
      </c>
      <c r="B333" s="6" t="str">
        <f t="shared" si="14"/>
        <v>16281</v>
      </c>
      <c r="C333" s="1" t="s">
        <v>8</v>
      </c>
      <c r="D333" s="1" t="s">
        <v>126</v>
      </c>
      <c r="E333" s="6" t="str">
        <f>"018"</f>
        <v>018</v>
      </c>
      <c r="F333" s="6">
        <v>2023</v>
      </c>
      <c r="G333" s="7">
        <v>11594200</v>
      </c>
      <c r="H333" s="7">
        <v>8122600</v>
      </c>
      <c r="I333" s="7">
        <v>3471600</v>
      </c>
    </row>
    <row r="334" spans="1:9" x14ac:dyDescent="0.2">
      <c r="A334" s="1" t="s">
        <v>127</v>
      </c>
      <c r="B334" s="6" t="str">
        <f>"17106"</f>
        <v>17106</v>
      </c>
      <c r="C334" s="1" t="s">
        <v>12</v>
      </c>
      <c r="D334" s="1" t="s">
        <v>128</v>
      </c>
      <c r="E334" s="6" t="str">
        <f>"003"</f>
        <v>003</v>
      </c>
      <c r="F334" s="6">
        <v>2007</v>
      </c>
      <c r="G334" s="7">
        <v>2270400</v>
      </c>
      <c r="H334" s="7">
        <v>1520500</v>
      </c>
      <c r="I334" s="7">
        <v>749900</v>
      </c>
    </row>
    <row r="335" spans="1:9" x14ac:dyDescent="0.2">
      <c r="A335" s="1" t="s">
        <v>127</v>
      </c>
      <c r="B335" s="6" t="str">
        <f>"17106"</f>
        <v>17106</v>
      </c>
      <c r="C335" s="1" t="s">
        <v>12</v>
      </c>
      <c r="D335" s="1" t="s">
        <v>128</v>
      </c>
      <c r="E335" s="6" t="str">
        <f>"004"</f>
        <v>004</v>
      </c>
      <c r="F335" s="6">
        <v>2022</v>
      </c>
      <c r="G335" s="7">
        <v>9882000</v>
      </c>
      <c r="H335" s="7">
        <v>6886800</v>
      </c>
      <c r="I335" s="7">
        <v>2995200</v>
      </c>
    </row>
    <row r="336" spans="1:9" x14ac:dyDescent="0.2">
      <c r="A336" s="1" t="s">
        <v>127</v>
      </c>
      <c r="B336" s="6" t="str">
        <f>"17111"</f>
        <v>17111</v>
      </c>
      <c r="C336" s="1" t="s">
        <v>12</v>
      </c>
      <c r="D336" s="1" t="s">
        <v>129</v>
      </c>
      <c r="E336" s="6" t="str">
        <f>"003"</f>
        <v>003</v>
      </c>
      <c r="F336" s="6">
        <v>2002</v>
      </c>
      <c r="G336" s="7">
        <v>11494000</v>
      </c>
      <c r="H336" s="7">
        <v>3964200</v>
      </c>
      <c r="I336" s="7">
        <v>7529800</v>
      </c>
    </row>
    <row r="337" spans="1:9" x14ac:dyDescent="0.2">
      <c r="A337" s="1" t="s">
        <v>127</v>
      </c>
      <c r="B337" s="6" t="str">
        <f>"17111"</f>
        <v>17111</v>
      </c>
      <c r="C337" s="1" t="s">
        <v>12</v>
      </c>
      <c r="D337" s="1" t="s">
        <v>129</v>
      </c>
      <c r="E337" s="6" t="str">
        <f>"004"</f>
        <v>004</v>
      </c>
      <c r="F337" s="6">
        <v>2006</v>
      </c>
      <c r="G337" s="7">
        <v>3893700</v>
      </c>
      <c r="H337" s="7">
        <v>1876600</v>
      </c>
      <c r="I337" s="7">
        <v>2017100</v>
      </c>
    </row>
    <row r="338" spans="1:9" x14ac:dyDescent="0.2">
      <c r="A338" s="1" t="s">
        <v>127</v>
      </c>
      <c r="B338" s="6" t="str">
        <f>"17111"</f>
        <v>17111</v>
      </c>
      <c r="C338" s="1" t="s">
        <v>12</v>
      </c>
      <c r="D338" s="1" t="s">
        <v>129</v>
      </c>
      <c r="E338" s="6" t="str">
        <f>"005"</f>
        <v>005</v>
      </c>
      <c r="F338" s="6">
        <v>2021</v>
      </c>
      <c r="G338" s="7">
        <v>15843300</v>
      </c>
      <c r="H338" s="7">
        <v>4539600</v>
      </c>
      <c r="I338" s="7">
        <v>11303700</v>
      </c>
    </row>
    <row r="339" spans="1:9" x14ac:dyDescent="0.2">
      <c r="A339" s="1" t="s">
        <v>127</v>
      </c>
      <c r="B339" s="6" t="str">
        <f>"17121"</f>
        <v>17121</v>
      </c>
      <c r="C339" s="1" t="s">
        <v>12</v>
      </c>
      <c r="D339" s="1" t="s">
        <v>130</v>
      </c>
      <c r="E339" s="6" t="str">
        <f>"001"</f>
        <v>001</v>
      </c>
      <c r="F339" s="6">
        <v>2007</v>
      </c>
      <c r="G339" s="7">
        <v>4471900</v>
      </c>
      <c r="H339" s="7">
        <v>2499700</v>
      </c>
      <c r="I339" s="7">
        <v>1972200</v>
      </c>
    </row>
    <row r="340" spans="1:9" x14ac:dyDescent="0.2">
      <c r="A340" s="1" t="s">
        <v>127</v>
      </c>
      <c r="B340" s="6" t="str">
        <f>"17121"</f>
        <v>17121</v>
      </c>
      <c r="C340" s="1" t="s">
        <v>12</v>
      </c>
      <c r="D340" s="1" t="s">
        <v>130</v>
      </c>
      <c r="E340" s="6" t="str">
        <f>"002"</f>
        <v>002</v>
      </c>
      <c r="F340" s="6">
        <v>2021</v>
      </c>
      <c r="G340" s="7">
        <v>18854900</v>
      </c>
      <c r="H340" s="7">
        <v>4512200</v>
      </c>
      <c r="I340" s="7">
        <v>14342700</v>
      </c>
    </row>
    <row r="341" spans="1:9" x14ac:dyDescent="0.2">
      <c r="A341" s="1" t="s">
        <v>127</v>
      </c>
      <c r="B341" s="6" t="str">
        <f>"17141"</f>
        <v>17141</v>
      </c>
      <c r="C341" s="1" t="s">
        <v>12</v>
      </c>
      <c r="D341" s="1" t="s">
        <v>131</v>
      </c>
      <c r="E341" s="6" t="str">
        <f>"003"</f>
        <v>003</v>
      </c>
      <c r="F341" s="6">
        <v>2005</v>
      </c>
      <c r="G341" s="7">
        <v>5308000</v>
      </c>
      <c r="H341" s="7">
        <v>201200</v>
      </c>
      <c r="I341" s="7">
        <v>5106800</v>
      </c>
    </row>
    <row r="342" spans="1:9" x14ac:dyDescent="0.2">
      <c r="A342" s="1" t="s">
        <v>127</v>
      </c>
      <c r="B342" s="6" t="str">
        <f>"17176"</f>
        <v>17176</v>
      </c>
      <c r="C342" s="1" t="s">
        <v>12</v>
      </c>
      <c r="D342" s="1" t="s">
        <v>132</v>
      </c>
      <c r="E342" s="6" t="str">
        <f>"001"</f>
        <v>001</v>
      </c>
      <c r="F342" s="6">
        <v>2006</v>
      </c>
      <c r="G342" s="7">
        <v>1614000</v>
      </c>
      <c r="H342" s="7">
        <v>1614000</v>
      </c>
      <c r="I342" s="7">
        <v>0</v>
      </c>
    </row>
    <row r="343" spans="1:9" x14ac:dyDescent="0.2">
      <c r="A343" s="1" t="s">
        <v>127</v>
      </c>
      <c r="B343" s="6" t="str">
        <f t="shared" ref="B343:B349" si="15">"17251"</f>
        <v>17251</v>
      </c>
      <c r="C343" s="1" t="s">
        <v>8</v>
      </c>
      <c r="D343" s="1" t="s">
        <v>133</v>
      </c>
      <c r="E343" s="6" t="str">
        <f>"013"</f>
        <v>013</v>
      </c>
      <c r="F343" s="6">
        <v>2004</v>
      </c>
      <c r="G343" s="7">
        <v>21244000</v>
      </c>
      <c r="H343" s="7">
        <v>5000</v>
      </c>
      <c r="I343" s="7">
        <v>21239000</v>
      </c>
    </row>
    <row r="344" spans="1:9" x14ac:dyDescent="0.2">
      <c r="A344" s="1" t="s">
        <v>127</v>
      </c>
      <c r="B344" s="6" t="str">
        <f t="shared" si="15"/>
        <v>17251</v>
      </c>
      <c r="C344" s="1" t="s">
        <v>8</v>
      </c>
      <c r="D344" s="1" t="s">
        <v>133</v>
      </c>
      <c r="E344" s="6" t="str">
        <f>"014"</f>
        <v>014</v>
      </c>
      <c r="F344" s="6">
        <v>2004</v>
      </c>
      <c r="G344" s="7">
        <v>19416900</v>
      </c>
      <c r="H344" s="7">
        <v>7958100</v>
      </c>
      <c r="I344" s="7">
        <v>11458800</v>
      </c>
    </row>
    <row r="345" spans="1:9" x14ac:dyDescent="0.2">
      <c r="A345" s="1" t="s">
        <v>127</v>
      </c>
      <c r="B345" s="6" t="str">
        <f t="shared" si="15"/>
        <v>17251</v>
      </c>
      <c r="C345" s="1" t="s">
        <v>8</v>
      </c>
      <c r="D345" s="1" t="s">
        <v>133</v>
      </c>
      <c r="E345" s="6" t="str">
        <f>"015"</f>
        <v>015</v>
      </c>
      <c r="F345" s="6">
        <v>2005</v>
      </c>
      <c r="G345" s="7">
        <v>55173500</v>
      </c>
      <c r="H345" s="7">
        <v>21540000</v>
      </c>
      <c r="I345" s="7">
        <v>33633500</v>
      </c>
    </row>
    <row r="346" spans="1:9" x14ac:dyDescent="0.2">
      <c r="A346" s="1" t="s">
        <v>127</v>
      </c>
      <c r="B346" s="6" t="str">
        <f t="shared" si="15"/>
        <v>17251</v>
      </c>
      <c r="C346" s="1" t="s">
        <v>8</v>
      </c>
      <c r="D346" s="1" t="s">
        <v>133</v>
      </c>
      <c r="E346" s="6" t="str">
        <f>"016"</f>
        <v>016</v>
      </c>
      <c r="F346" s="6">
        <v>2019</v>
      </c>
      <c r="G346" s="7">
        <v>9623200</v>
      </c>
      <c r="H346" s="7">
        <v>560100</v>
      </c>
      <c r="I346" s="7">
        <v>9063100</v>
      </c>
    </row>
    <row r="347" spans="1:9" x14ac:dyDescent="0.2">
      <c r="A347" s="1" t="s">
        <v>127</v>
      </c>
      <c r="B347" s="6" t="str">
        <f t="shared" si="15"/>
        <v>17251</v>
      </c>
      <c r="C347" s="1" t="s">
        <v>8</v>
      </c>
      <c r="D347" s="1" t="s">
        <v>133</v>
      </c>
      <c r="E347" s="6" t="str">
        <f>"017"</f>
        <v>017</v>
      </c>
      <c r="F347" s="6">
        <v>2023</v>
      </c>
      <c r="G347" s="7">
        <v>65585500</v>
      </c>
      <c r="H347" s="7">
        <v>44013800</v>
      </c>
      <c r="I347" s="7">
        <v>21571700</v>
      </c>
    </row>
    <row r="348" spans="1:9" x14ac:dyDescent="0.2">
      <c r="A348" s="1" t="s">
        <v>127</v>
      </c>
      <c r="B348" s="6" t="str">
        <f t="shared" si="15"/>
        <v>17251</v>
      </c>
      <c r="C348" s="1" t="s">
        <v>8</v>
      </c>
      <c r="D348" s="1" t="s">
        <v>133</v>
      </c>
      <c r="E348" s="6" t="str">
        <f>"018"</f>
        <v>018</v>
      </c>
      <c r="F348" s="6">
        <v>2023</v>
      </c>
      <c r="G348" s="7">
        <v>7682700</v>
      </c>
      <c r="H348" s="7">
        <v>1495500</v>
      </c>
      <c r="I348" s="7">
        <v>6187200</v>
      </c>
    </row>
    <row r="349" spans="1:9" x14ac:dyDescent="0.2">
      <c r="A349" s="1" t="s">
        <v>127</v>
      </c>
      <c r="B349" s="6" t="str">
        <f t="shared" si="15"/>
        <v>17251</v>
      </c>
      <c r="C349" s="1" t="s">
        <v>8</v>
      </c>
      <c r="D349" s="1" t="s">
        <v>133</v>
      </c>
      <c r="E349" s="6" t="str">
        <f>"019"</f>
        <v>019</v>
      </c>
      <c r="F349" s="6">
        <v>2024</v>
      </c>
      <c r="G349" s="7">
        <v>42068300</v>
      </c>
      <c r="H349" s="7">
        <v>36262600</v>
      </c>
      <c r="I349" s="7">
        <v>5805700</v>
      </c>
    </row>
    <row r="350" spans="1:9" x14ac:dyDescent="0.2">
      <c r="A350" s="1" t="s">
        <v>59</v>
      </c>
      <c r="B350" s="6" t="str">
        <f>"18127"</f>
        <v>18127</v>
      </c>
      <c r="C350" s="1" t="s">
        <v>12</v>
      </c>
      <c r="D350" s="1" t="s">
        <v>134</v>
      </c>
      <c r="E350" s="6" t="str">
        <f>"001"</f>
        <v>001</v>
      </c>
      <c r="F350" s="6">
        <v>2000</v>
      </c>
      <c r="G350" s="7">
        <v>1502900</v>
      </c>
      <c r="H350" s="7">
        <v>72800</v>
      </c>
      <c r="I350" s="7">
        <v>1430100</v>
      </c>
    </row>
    <row r="351" spans="1:9" x14ac:dyDescent="0.2">
      <c r="A351" s="1" t="s">
        <v>59</v>
      </c>
      <c r="B351" s="6" t="str">
        <f>"18127"</f>
        <v>18127</v>
      </c>
      <c r="C351" s="1" t="s">
        <v>12</v>
      </c>
      <c r="D351" s="1" t="s">
        <v>134</v>
      </c>
      <c r="E351" s="6" t="str">
        <f>"002"</f>
        <v>002</v>
      </c>
      <c r="F351" s="6">
        <v>2013</v>
      </c>
      <c r="G351" s="7">
        <v>10732400</v>
      </c>
      <c r="H351" s="7">
        <v>1613300</v>
      </c>
      <c r="I351" s="7">
        <v>9119100</v>
      </c>
    </row>
    <row r="352" spans="1:9" x14ac:dyDescent="0.2">
      <c r="A352" s="1" t="s">
        <v>59</v>
      </c>
      <c r="B352" s="6" t="str">
        <f>"18201"</f>
        <v>18201</v>
      </c>
      <c r="C352" s="1" t="s">
        <v>8</v>
      </c>
      <c r="D352" s="1" t="s">
        <v>135</v>
      </c>
      <c r="E352" s="6" t="str">
        <f>"004"</f>
        <v>004</v>
      </c>
      <c r="F352" s="6">
        <v>2008</v>
      </c>
      <c r="G352" s="7">
        <v>63517600</v>
      </c>
      <c r="H352" s="7">
        <v>6675800</v>
      </c>
      <c r="I352" s="7">
        <v>56841800</v>
      </c>
    </row>
    <row r="353" spans="1:9" x14ac:dyDescent="0.2">
      <c r="A353" s="1" t="s">
        <v>59</v>
      </c>
      <c r="B353" s="6" t="str">
        <f>"18202"</f>
        <v>18202</v>
      </c>
      <c r="C353" s="1" t="s">
        <v>8</v>
      </c>
      <c r="D353" s="1" t="s">
        <v>136</v>
      </c>
      <c r="E353" s="6" t="str">
        <f>"004"</f>
        <v>004</v>
      </c>
      <c r="F353" s="6">
        <v>2005</v>
      </c>
      <c r="G353" s="7">
        <v>21016400</v>
      </c>
      <c r="H353" s="7">
        <v>3955700</v>
      </c>
      <c r="I353" s="7">
        <v>17060700</v>
      </c>
    </row>
    <row r="354" spans="1:9" x14ac:dyDescent="0.2">
      <c r="A354" s="1" t="s">
        <v>59</v>
      </c>
      <c r="B354" s="6" t="str">
        <f t="shared" ref="B354:B362" si="16">"18221"</f>
        <v>18221</v>
      </c>
      <c r="C354" s="1" t="s">
        <v>8</v>
      </c>
      <c r="D354" s="1" t="s">
        <v>59</v>
      </c>
      <c r="E354" s="6" t="str">
        <f>"008"</f>
        <v>008</v>
      </c>
      <c r="F354" s="6">
        <v>2002</v>
      </c>
      <c r="G354" s="7">
        <v>162906500</v>
      </c>
      <c r="H354" s="7">
        <v>11430400</v>
      </c>
      <c r="I354" s="7">
        <v>151476100</v>
      </c>
    </row>
    <row r="355" spans="1:9" x14ac:dyDescent="0.2">
      <c r="A355" s="1" t="s">
        <v>59</v>
      </c>
      <c r="B355" s="6" t="str">
        <f t="shared" si="16"/>
        <v>18221</v>
      </c>
      <c r="C355" s="1" t="s">
        <v>8</v>
      </c>
      <c r="D355" s="1" t="s">
        <v>59</v>
      </c>
      <c r="E355" s="6" t="str">
        <f>"009"</f>
        <v>009</v>
      </c>
      <c r="F355" s="6">
        <v>2008</v>
      </c>
      <c r="G355" s="7">
        <v>45251100</v>
      </c>
      <c r="H355" s="7">
        <v>13206300</v>
      </c>
      <c r="I355" s="7">
        <v>32044800</v>
      </c>
    </row>
    <row r="356" spans="1:9" x14ac:dyDescent="0.2">
      <c r="A356" s="1" t="s">
        <v>59</v>
      </c>
      <c r="B356" s="6" t="str">
        <f t="shared" si="16"/>
        <v>18221</v>
      </c>
      <c r="C356" s="1" t="s">
        <v>8</v>
      </c>
      <c r="D356" s="1" t="s">
        <v>59</v>
      </c>
      <c r="E356" s="6" t="str">
        <f>"010"</f>
        <v>010</v>
      </c>
      <c r="F356" s="6">
        <v>2015</v>
      </c>
      <c r="G356" s="7">
        <v>53857300</v>
      </c>
      <c r="H356" s="7">
        <v>9675100</v>
      </c>
      <c r="I356" s="7">
        <v>44182200</v>
      </c>
    </row>
    <row r="357" spans="1:9" x14ac:dyDescent="0.2">
      <c r="A357" s="1" t="s">
        <v>59</v>
      </c>
      <c r="B357" s="6" t="str">
        <f t="shared" si="16"/>
        <v>18221</v>
      </c>
      <c r="C357" s="1" t="s">
        <v>8</v>
      </c>
      <c r="D357" s="1" t="s">
        <v>59</v>
      </c>
      <c r="E357" s="6" t="str">
        <f>"011"</f>
        <v>011</v>
      </c>
      <c r="F357" s="6">
        <v>2015</v>
      </c>
      <c r="G357" s="7">
        <v>56230800</v>
      </c>
      <c r="H357" s="7">
        <v>15657800</v>
      </c>
      <c r="I357" s="7">
        <v>40573000</v>
      </c>
    </row>
    <row r="358" spans="1:9" x14ac:dyDescent="0.2">
      <c r="A358" s="1" t="s">
        <v>59</v>
      </c>
      <c r="B358" s="6" t="str">
        <f t="shared" si="16"/>
        <v>18221</v>
      </c>
      <c r="C358" s="1" t="s">
        <v>8</v>
      </c>
      <c r="D358" s="1" t="s">
        <v>59</v>
      </c>
      <c r="E358" s="6" t="str">
        <f>"012"</f>
        <v>012</v>
      </c>
      <c r="F358" s="6">
        <v>2017</v>
      </c>
      <c r="G358" s="7">
        <v>36213800</v>
      </c>
      <c r="H358" s="7">
        <v>21641500</v>
      </c>
      <c r="I358" s="7">
        <v>14572300</v>
      </c>
    </row>
    <row r="359" spans="1:9" x14ac:dyDescent="0.2">
      <c r="A359" s="1" t="s">
        <v>59</v>
      </c>
      <c r="B359" s="6" t="str">
        <f t="shared" si="16"/>
        <v>18221</v>
      </c>
      <c r="C359" s="1" t="s">
        <v>8</v>
      </c>
      <c r="D359" s="1" t="s">
        <v>59</v>
      </c>
      <c r="E359" s="6" t="str">
        <f>"013"</f>
        <v>013</v>
      </c>
      <c r="F359" s="6">
        <v>2019</v>
      </c>
      <c r="G359" s="7">
        <v>40444900</v>
      </c>
      <c r="H359" s="7">
        <v>2944200</v>
      </c>
      <c r="I359" s="7">
        <v>37500700</v>
      </c>
    </row>
    <row r="360" spans="1:9" x14ac:dyDescent="0.2">
      <c r="A360" s="1" t="s">
        <v>59</v>
      </c>
      <c r="B360" s="6" t="str">
        <f t="shared" si="16"/>
        <v>18221</v>
      </c>
      <c r="C360" s="1" t="s">
        <v>8</v>
      </c>
      <c r="D360" s="1" t="s">
        <v>59</v>
      </c>
      <c r="E360" s="6" t="str">
        <f>"014"</f>
        <v>014</v>
      </c>
      <c r="F360" s="6">
        <v>2021</v>
      </c>
      <c r="G360" s="7">
        <v>39082900</v>
      </c>
      <c r="H360" s="7">
        <v>1281700</v>
      </c>
      <c r="I360" s="7">
        <v>37801200</v>
      </c>
    </row>
    <row r="361" spans="1:9" x14ac:dyDescent="0.2">
      <c r="A361" s="1" t="s">
        <v>59</v>
      </c>
      <c r="B361" s="6" t="str">
        <f t="shared" si="16"/>
        <v>18221</v>
      </c>
      <c r="C361" s="1" t="s">
        <v>8</v>
      </c>
      <c r="D361" s="1" t="s">
        <v>59</v>
      </c>
      <c r="E361" s="6" t="str">
        <f>"016"</f>
        <v>016</v>
      </c>
      <c r="F361" s="6">
        <v>2023</v>
      </c>
      <c r="G361" s="7">
        <v>78806200</v>
      </c>
      <c r="H361" s="7">
        <v>30243700</v>
      </c>
      <c r="I361" s="7">
        <v>48562500</v>
      </c>
    </row>
    <row r="362" spans="1:9" x14ac:dyDescent="0.2">
      <c r="A362" s="1" t="s">
        <v>59</v>
      </c>
      <c r="B362" s="6" t="str">
        <f t="shared" si="16"/>
        <v>18221</v>
      </c>
      <c r="C362" s="1" t="s">
        <v>8</v>
      </c>
      <c r="D362" s="1" t="s">
        <v>59</v>
      </c>
      <c r="E362" s="6" t="str">
        <f>"017"</f>
        <v>017</v>
      </c>
      <c r="F362" s="6">
        <v>2024</v>
      </c>
      <c r="G362" s="7">
        <v>23461600</v>
      </c>
      <c r="H362" s="7">
        <v>20498500</v>
      </c>
      <c r="I362" s="7">
        <v>2963100</v>
      </c>
    </row>
    <row r="363" spans="1:9" x14ac:dyDescent="0.2">
      <c r="A363" s="1" t="s">
        <v>137</v>
      </c>
      <c r="B363" s="6" t="str">
        <f>"19010"</f>
        <v>19010</v>
      </c>
      <c r="C363" s="1" t="s">
        <v>6</v>
      </c>
      <c r="D363" s="1" t="s">
        <v>137</v>
      </c>
      <c r="E363" s="6" t="str">
        <f>"001R"</f>
        <v>001R</v>
      </c>
      <c r="F363" s="6">
        <v>2013</v>
      </c>
      <c r="G363" s="7">
        <v>32410500</v>
      </c>
      <c r="H363" s="7">
        <v>11400400</v>
      </c>
      <c r="I363" s="7">
        <v>21010100</v>
      </c>
    </row>
    <row r="364" spans="1:9" x14ac:dyDescent="0.2">
      <c r="A364" s="1" t="s">
        <v>138</v>
      </c>
      <c r="B364" s="6" t="str">
        <f>"20111"</f>
        <v>20111</v>
      </c>
      <c r="C364" s="1" t="s">
        <v>12</v>
      </c>
      <c r="D364" s="1" t="s">
        <v>139</v>
      </c>
      <c r="E364" s="6" t="str">
        <f>"001"</f>
        <v>001</v>
      </c>
      <c r="F364" s="6">
        <v>2011</v>
      </c>
      <c r="G364" s="7">
        <v>7788300</v>
      </c>
      <c r="H364" s="7">
        <v>1763300</v>
      </c>
      <c r="I364" s="7">
        <v>6025000</v>
      </c>
    </row>
    <row r="365" spans="1:9" x14ac:dyDescent="0.2">
      <c r="A365" s="1" t="s">
        <v>138</v>
      </c>
      <c r="B365" s="6" t="str">
        <f>"20111"</f>
        <v>20111</v>
      </c>
      <c r="C365" s="1" t="s">
        <v>12</v>
      </c>
      <c r="D365" s="1" t="s">
        <v>139</v>
      </c>
      <c r="E365" s="6" t="str">
        <f>"002"</f>
        <v>002</v>
      </c>
      <c r="F365" s="6">
        <v>2022</v>
      </c>
      <c r="G365" s="7">
        <v>25545100</v>
      </c>
      <c r="H365" s="7">
        <v>17427600</v>
      </c>
      <c r="I365" s="7">
        <v>8117500</v>
      </c>
    </row>
    <row r="366" spans="1:9" x14ac:dyDescent="0.2">
      <c r="A366" s="1" t="s">
        <v>138</v>
      </c>
      <c r="B366" s="6" t="str">
        <f>"20126"</f>
        <v>20126</v>
      </c>
      <c r="C366" s="1" t="s">
        <v>12</v>
      </c>
      <c r="D366" s="1" t="s">
        <v>140</v>
      </c>
      <c r="E366" s="6" t="str">
        <f>"001"</f>
        <v>001</v>
      </c>
      <c r="F366" s="6">
        <v>1997</v>
      </c>
      <c r="G366" s="7">
        <v>8303000</v>
      </c>
      <c r="H366" s="7">
        <v>751400</v>
      </c>
      <c r="I366" s="7">
        <v>7551600</v>
      </c>
    </row>
    <row r="367" spans="1:9" x14ac:dyDescent="0.2">
      <c r="A367" s="1" t="s">
        <v>138</v>
      </c>
      <c r="B367" s="6" t="str">
        <f>"20161"</f>
        <v>20161</v>
      </c>
      <c r="C367" s="1" t="s">
        <v>12</v>
      </c>
      <c r="D367" s="1" t="s">
        <v>141</v>
      </c>
      <c r="E367" s="6" t="str">
        <f>"002"</f>
        <v>002</v>
      </c>
      <c r="F367" s="6">
        <v>2008</v>
      </c>
      <c r="G367" s="7">
        <v>5275400</v>
      </c>
      <c r="H367" s="7">
        <v>4175100</v>
      </c>
      <c r="I367" s="7">
        <v>1100300</v>
      </c>
    </row>
    <row r="368" spans="1:9" x14ac:dyDescent="0.2">
      <c r="A368" s="1" t="s">
        <v>138</v>
      </c>
      <c r="B368" s="6" t="str">
        <f>"20165"</f>
        <v>20165</v>
      </c>
      <c r="C368" s="1" t="s">
        <v>12</v>
      </c>
      <c r="D368" s="1" t="s">
        <v>142</v>
      </c>
      <c r="E368" s="6" t="str">
        <f>"002"</f>
        <v>002</v>
      </c>
      <c r="F368" s="6">
        <v>1997</v>
      </c>
      <c r="G368" s="7">
        <v>6029400</v>
      </c>
      <c r="H368" s="7">
        <v>888200</v>
      </c>
      <c r="I368" s="7">
        <v>5141200</v>
      </c>
    </row>
    <row r="369" spans="1:9" x14ac:dyDescent="0.2">
      <c r="A369" s="1" t="s">
        <v>138</v>
      </c>
      <c r="B369" s="6" t="str">
        <f>"20176"</f>
        <v>20176</v>
      </c>
      <c r="C369" s="1" t="s">
        <v>12</v>
      </c>
      <c r="D369" s="1" t="s">
        <v>143</v>
      </c>
      <c r="E369" s="6" t="str">
        <f>"001"</f>
        <v>001</v>
      </c>
      <c r="F369" s="6">
        <v>2011</v>
      </c>
      <c r="G369" s="7">
        <v>6039900</v>
      </c>
      <c r="H369" s="7">
        <v>3464400</v>
      </c>
      <c r="I369" s="7">
        <v>2575500</v>
      </c>
    </row>
    <row r="370" spans="1:9" x14ac:dyDescent="0.2">
      <c r="A370" s="1" t="s">
        <v>138</v>
      </c>
      <c r="B370" s="6" t="str">
        <f>"20176"</f>
        <v>20176</v>
      </c>
      <c r="C370" s="1" t="s">
        <v>12</v>
      </c>
      <c r="D370" s="1" t="s">
        <v>143</v>
      </c>
      <c r="E370" s="6" t="str">
        <f>"002"</f>
        <v>002</v>
      </c>
      <c r="F370" s="6">
        <v>2019</v>
      </c>
      <c r="G370" s="7">
        <v>5422100</v>
      </c>
      <c r="H370" s="7">
        <v>3650800</v>
      </c>
      <c r="I370" s="7">
        <v>1771300</v>
      </c>
    </row>
    <row r="371" spans="1:9" x14ac:dyDescent="0.2">
      <c r="A371" s="1" t="s">
        <v>138</v>
      </c>
      <c r="B371" s="6" t="str">
        <f t="shared" ref="B371:B379" si="17">"20226"</f>
        <v>20226</v>
      </c>
      <c r="C371" s="1" t="s">
        <v>8</v>
      </c>
      <c r="D371" s="1" t="s">
        <v>138</v>
      </c>
      <c r="E371" s="6" t="str">
        <f>"013"</f>
        <v>013</v>
      </c>
      <c r="F371" s="6">
        <v>2010</v>
      </c>
      <c r="G371" s="7">
        <v>6547600</v>
      </c>
      <c r="H371" s="7">
        <v>2732500</v>
      </c>
      <c r="I371" s="7">
        <v>3815100</v>
      </c>
    </row>
    <row r="372" spans="1:9" x14ac:dyDescent="0.2">
      <c r="A372" s="1" t="s">
        <v>138</v>
      </c>
      <c r="B372" s="6" t="str">
        <f t="shared" si="17"/>
        <v>20226</v>
      </c>
      <c r="C372" s="1" t="s">
        <v>8</v>
      </c>
      <c r="D372" s="1" t="s">
        <v>138</v>
      </c>
      <c r="E372" s="6" t="str">
        <f>"014"</f>
        <v>014</v>
      </c>
      <c r="F372" s="6">
        <v>2011</v>
      </c>
      <c r="G372" s="7">
        <v>12800300</v>
      </c>
      <c r="H372" s="7">
        <v>529000</v>
      </c>
      <c r="I372" s="7">
        <v>12271300</v>
      </c>
    </row>
    <row r="373" spans="1:9" x14ac:dyDescent="0.2">
      <c r="A373" s="1" t="s">
        <v>138</v>
      </c>
      <c r="B373" s="6" t="str">
        <f t="shared" si="17"/>
        <v>20226</v>
      </c>
      <c r="C373" s="1" t="s">
        <v>8</v>
      </c>
      <c r="D373" s="1" t="s">
        <v>138</v>
      </c>
      <c r="E373" s="6" t="str">
        <f>"015"</f>
        <v>015</v>
      </c>
      <c r="F373" s="6">
        <v>2011</v>
      </c>
      <c r="G373" s="7">
        <v>1190500</v>
      </c>
      <c r="H373" s="7">
        <v>196200</v>
      </c>
      <c r="I373" s="7">
        <v>994300</v>
      </c>
    </row>
    <row r="374" spans="1:9" x14ac:dyDescent="0.2">
      <c r="A374" s="1" t="s">
        <v>138</v>
      </c>
      <c r="B374" s="6" t="str">
        <f t="shared" si="17"/>
        <v>20226</v>
      </c>
      <c r="C374" s="1" t="s">
        <v>8</v>
      </c>
      <c r="D374" s="1" t="s">
        <v>138</v>
      </c>
      <c r="E374" s="6" t="str">
        <f>"019"</f>
        <v>019</v>
      </c>
      <c r="F374" s="6">
        <v>2015</v>
      </c>
      <c r="G374" s="7">
        <v>1822600</v>
      </c>
      <c r="H374" s="7">
        <v>759800</v>
      </c>
      <c r="I374" s="7">
        <v>1062800</v>
      </c>
    </row>
    <row r="375" spans="1:9" x14ac:dyDescent="0.2">
      <c r="A375" s="1" t="s">
        <v>138</v>
      </c>
      <c r="B375" s="6" t="str">
        <f t="shared" si="17"/>
        <v>20226</v>
      </c>
      <c r="C375" s="1" t="s">
        <v>8</v>
      </c>
      <c r="D375" s="1" t="s">
        <v>138</v>
      </c>
      <c r="E375" s="6" t="str">
        <f>"020"</f>
        <v>020</v>
      </c>
      <c r="F375" s="6">
        <v>2017</v>
      </c>
      <c r="G375" s="7">
        <v>1179300</v>
      </c>
      <c r="H375" s="7">
        <v>0</v>
      </c>
      <c r="I375" s="7">
        <v>1179300</v>
      </c>
    </row>
    <row r="376" spans="1:9" x14ac:dyDescent="0.2">
      <c r="A376" s="1" t="s">
        <v>138</v>
      </c>
      <c r="B376" s="6" t="str">
        <f t="shared" si="17"/>
        <v>20226</v>
      </c>
      <c r="C376" s="1" t="s">
        <v>8</v>
      </c>
      <c r="D376" s="1" t="s">
        <v>138</v>
      </c>
      <c r="E376" s="6" t="str">
        <f>"021"</f>
        <v>021</v>
      </c>
      <c r="F376" s="6">
        <v>2017</v>
      </c>
      <c r="G376" s="7">
        <v>9755300</v>
      </c>
      <c r="H376" s="7">
        <v>2156400</v>
      </c>
      <c r="I376" s="7">
        <v>7598900</v>
      </c>
    </row>
    <row r="377" spans="1:9" x14ac:dyDescent="0.2">
      <c r="A377" s="1" t="s">
        <v>138</v>
      </c>
      <c r="B377" s="6" t="str">
        <f t="shared" si="17"/>
        <v>20226</v>
      </c>
      <c r="C377" s="1" t="s">
        <v>8</v>
      </c>
      <c r="D377" s="1" t="s">
        <v>138</v>
      </c>
      <c r="E377" s="6" t="str">
        <f>"022"</f>
        <v>022</v>
      </c>
      <c r="F377" s="6">
        <v>2017</v>
      </c>
      <c r="G377" s="7">
        <v>11734400</v>
      </c>
      <c r="H377" s="7">
        <v>1517700</v>
      </c>
      <c r="I377" s="7">
        <v>10216700</v>
      </c>
    </row>
    <row r="378" spans="1:9" x14ac:dyDescent="0.2">
      <c r="A378" s="1" t="s">
        <v>138</v>
      </c>
      <c r="B378" s="6" t="str">
        <f t="shared" si="17"/>
        <v>20226</v>
      </c>
      <c r="C378" s="1" t="s">
        <v>8</v>
      </c>
      <c r="D378" s="1" t="s">
        <v>138</v>
      </c>
      <c r="E378" s="6" t="str">
        <f>"023"</f>
        <v>023</v>
      </c>
      <c r="F378" s="6">
        <v>2018</v>
      </c>
      <c r="G378" s="7">
        <v>8496600</v>
      </c>
      <c r="H378" s="7">
        <v>5248100</v>
      </c>
      <c r="I378" s="7">
        <v>3248500</v>
      </c>
    </row>
    <row r="379" spans="1:9" x14ac:dyDescent="0.2">
      <c r="A379" s="1" t="s">
        <v>138</v>
      </c>
      <c r="B379" s="6" t="str">
        <f t="shared" si="17"/>
        <v>20226</v>
      </c>
      <c r="C379" s="1" t="s">
        <v>8</v>
      </c>
      <c r="D379" s="1" t="s">
        <v>138</v>
      </c>
      <c r="E379" s="6" t="str">
        <f>"025"</f>
        <v>025</v>
      </c>
      <c r="F379" s="6">
        <v>2023</v>
      </c>
      <c r="G379" s="7">
        <v>5658600</v>
      </c>
      <c r="H379" s="7">
        <v>5658600</v>
      </c>
      <c r="I379" s="7">
        <v>0</v>
      </c>
    </row>
    <row r="380" spans="1:9" x14ac:dyDescent="0.2">
      <c r="A380" s="1" t="s">
        <v>138</v>
      </c>
      <c r="B380" s="6" t="str">
        <f t="shared" ref="B380:B386" si="18">"20276"</f>
        <v>20276</v>
      </c>
      <c r="C380" s="1" t="s">
        <v>8</v>
      </c>
      <c r="D380" s="1" t="s">
        <v>144</v>
      </c>
      <c r="E380" s="6" t="str">
        <f>"007"</f>
        <v>007</v>
      </c>
      <c r="F380" s="6">
        <v>2007</v>
      </c>
      <c r="G380" s="7">
        <v>13202100</v>
      </c>
      <c r="H380" s="7">
        <v>845600</v>
      </c>
      <c r="I380" s="7">
        <v>12356500</v>
      </c>
    </row>
    <row r="381" spans="1:9" x14ac:dyDescent="0.2">
      <c r="A381" s="1" t="s">
        <v>138</v>
      </c>
      <c r="B381" s="6" t="str">
        <f t="shared" si="18"/>
        <v>20276</v>
      </c>
      <c r="C381" s="1" t="s">
        <v>8</v>
      </c>
      <c r="D381" s="1" t="s">
        <v>144</v>
      </c>
      <c r="E381" s="6" t="str">
        <f>"009"</f>
        <v>009</v>
      </c>
      <c r="F381" s="6">
        <v>2009</v>
      </c>
      <c r="G381" s="7">
        <v>7375000</v>
      </c>
      <c r="H381" s="7">
        <v>7100</v>
      </c>
      <c r="I381" s="7">
        <v>7367900</v>
      </c>
    </row>
    <row r="382" spans="1:9" x14ac:dyDescent="0.2">
      <c r="A382" s="1" t="s">
        <v>138</v>
      </c>
      <c r="B382" s="6" t="str">
        <f t="shared" si="18"/>
        <v>20276</v>
      </c>
      <c r="C382" s="1" t="s">
        <v>8</v>
      </c>
      <c r="D382" s="1" t="s">
        <v>144</v>
      </c>
      <c r="E382" s="6" t="str">
        <f>"010"</f>
        <v>010</v>
      </c>
      <c r="F382" s="6">
        <v>2009</v>
      </c>
      <c r="G382" s="7">
        <v>12899400</v>
      </c>
      <c r="H382" s="7">
        <v>34400</v>
      </c>
      <c r="I382" s="7">
        <v>12865000</v>
      </c>
    </row>
    <row r="383" spans="1:9" x14ac:dyDescent="0.2">
      <c r="A383" s="1" t="s">
        <v>138</v>
      </c>
      <c r="B383" s="6" t="str">
        <f t="shared" si="18"/>
        <v>20276</v>
      </c>
      <c r="C383" s="1" t="s">
        <v>8</v>
      </c>
      <c r="D383" s="1" t="s">
        <v>144</v>
      </c>
      <c r="E383" s="6" t="str">
        <f>"011"</f>
        <v>011</v>
      </c>
      <c r="F383" s="6">
        <v>2009</v>
      </c>
      <c r="G383" s="7">
        <v>12054300</v>
      </c>
      <c r="H383" s="7">
        <v>6384300</v>
      </c>
      <c r="I383" s="7">
        <v>5670000</v>
      </c>
    </row>
    <row r="384" spans="1:9" x14ac:dyDescent="0.2">
      <c r="A384" s="1" t="s">
        <v>138</v>
      </c>
      <c r="B384" s="6" t="str">
        <f t="shared" si="18"/>
        <v>20276</v>
      </c>
      <c r="C384" s="1" t="s">
        <v>8</v>
      </c>
      <c r="D384" s="1" t="s">
        <v>144</v>
      </c>
      <c r="E384" s="6" t="str">
        <f>"012"</f>
        <v>012</v>
      </c>
      <c r="F384" s="6">
        <v>2014</v>
      </c>
      <c r="G384" s="7">
        <v>4600300</v>
      </c>
      <c r="H384" s="7">
        <v>727100</v>
      </c>
      <c r="I384" s="7">
        <v>3873200</v>
      </c>
    </row>
    <row r="385" spans="1:9" x14ac:dyDescent="0.2">
      <c r="A385" s="1" t="s">
        <v>138</v>
      </c>
      <c r="B385" s="6" t="str">
        <f t="shared" si="18"/>
        <v>20276</v>
      </c>
      <c r="C385" s="1" t="s">
        <v>8</v>
      </c>
      <c r="D385" s="1" t="s">
        <v>144</v>
      </c>
      <c r="E385" s="6" t="str">
        <f>"014"</f>
        <v>014</v>
      </c>
      <c r="F385" s="6">
        <v>2016</v>
      </c>
      <c r="G385" s="7">
        <v>19519300</v>
      </c>
      <c r="H385" s="7">
        <v>0</v>
      </c>
      <c r="I385" s="7">
        <v>19519300</v>
      </c>
    </row>
    <row r="386" spans="1:9" x14ac:dyDescent="0.2">
      <c r="A386" s="1" t="s">
        <v>138</v>
      </c>
      <c r="B386" s="6" t="str">
        <f t="shared" si="18"/>
        <v>20276</v>
      </c>
      <c r="C386" s="1" t="s">
        <v>8</v>
      </c>
      <c r="D386" s="1" t="s">
        <v>144</v>
      </c>
      <c r="E386" s="6" t="str">
        <f>"015"</f>
        <v>015</v>
      </c>
      <c r="F386" s="6">
        <v>2017</v>
      </c>
      <c r="G386" s="7">
        <v>4153600</v>
      </c>
      <c r="H386" s="7">
        <v>259000</v>
      </c>
      <c r="I386" s="7">
        <v>3894600</v>
      </c>
    </row>
    <row r="387" spans="1:9" x14ac:dyDescent="0.2">
      <c r="A387" s="1" t="s">
        <v>138</v>
      </c>
      <c r="B387" s="6" t="str">
        <f>"20292"</f>
        <v>20292</v>
      </c>
      <c r="C387" s="1" t="s">
        <v>8</v>
      </c>
      <c r="D387" s="1" t="s">
        <v>119</v>
      </c>
      <c r="E387" s="6" t="str">
        <f>"003"</f>
        <v>003</v>
      </c>
      <c r="F387" s="6">
        <v>2005</v>
      </c>
      <c r="G387" s="7">
        <v>17988700</v>
      </c>
      <c r="H387" s="7">
        <v>10263700</v>
      </c>
      <c r="I387" s="7">
        <v>7725000</v>
      </c>
    </row>
    <row r="388" spans="1:9" x14ac:dyDescent="0.2">
      <c r="A388" s="1" t="s">
        <v>138</v>
      </c>
      <c r="B388" s="6" t="str">
        <f>"20292"</f>
        <v>20292</v>
      </c>
      <c r="C388" s="1" t="s">
        <v>8</v>
      </c>
      <c r="D388" s="1" t="s">
        <v>119</v>
      </c>
      <c r="E388" s="6" t="str">
        <f>"006"</f>
        <v>006</v>
      </c>
      <c r="F388" s="6">
        <v>2012</v>
      </c>
      <c r="G388" s="7">
        <v>9075800</v>
      </c>
      <c r="H388" s="7">
        <v>9154600</v>
      </c>
      <c r="I388" s="7">
        <v>-78800</v>
      </c>
    </row>
    <row r="389" spans="1:9" x14ac:dyDescent="0.2">
      <c r="A389" s="1" t="s">
        <v>138</v>
      </c>
      <c r="B389" s="6" t="str">
        <f>"20292"</f>
        <v>20292</v>
      </c>
      <c r="C389" s="1" t="s">
        <v>8</v>
      </c>
      <c r="D389" s="1" t="s">
        <v>119</v>
      </c>
      <c r="E389" s="6" t="str">
        <f>"008"</f>
        <v>008</v>
      </c>
      <c r="F389" s="6">
        <v>2018</v>
      </c>
      <c r="G389" s="7">
        <v>17560000</v>
      </c>
      <c r="H389" s="7">
        <v>4816700</v>
      </c>
      <c r="I389" s="7">
        <v>12743300</v>
      </c>
    </row>
    <row r="390" spans="1:9" x14ac:dyDescent="0.2">
      <c r="A390" s="1" t="s">
        <v>145</v>
      </c>
      <c r="B390" s="6" t="str">
        <f>"21211"</f>
        <v>21211</v>
      </c>
      <c r="C390" s="1" t="s">
        <v>8</v>
      </c>
      <c r="D390" s="1" t="s">
        <v>146</v>
      </c>
      <c r="E390" s="6" t="str">
        <f>"001"</f>
        <v>001</v>
      </c>
      <c r="F390" s="6">
        <v>2002</v>
      </c>
      <c r="G390" s="7">
        <v>6603500</v>
      </c>
      <c r="H390" s="7">
        <v>1551000</v>
      </c>
      <c r="I390" s="7">
        <v>5052500</v>
      </c>
    </row>
    <row r="391" spans="1:9" x14ac:dyDescent="0.2">
      <c r="A391" s="1" t="s">
        <v>147</v>
      </c>
      <c r="B391" s="6" t="str">
        <f>"22116"</f>
        <v>22116</v>
      </c>
      <c r="C391" s="1" t="s">
        <v>12</v>
      </c>
      <c r="D391" s="1" t="s">
        <v>148</v>
      </c>
      <c r="E391" s="6" t="str">
        <f>"001"</f>
        <v>001</v>
      </c>
      <c r="F391" s="6">
        <v>2014</v>
      </c>
      <c r="G391" s="7">
        <v>13945100</v>
      </c>
      <c r="H391" s="7">
        <v>1550700</v>
      </c>
      <c r="I391" s="7">
        <v>12394400</v>
      </c>
    </row>
    <row r="392" spans="1:9" x14ac:dyDescent="0.2">
      <c r="A392" s="1" t="s">
        <v>147</v>
      </c>
      <c r="B392" s="6" t="str">
        <f>"22116"</f>
        <v>22116</v>
      </c>
      <c r="C392" s="1" t="s">
        <v>12</v>
      </c>
      <c r="D392" s="1" t="s">
        <v>148</v>
      </c>
      <c r="E392" s="6" t="str">
        <f>"002"</f>
        <v>002</v>
      </c>
      <c r="F392" s="6">
        <v>2023</v>
      </c>
      <c r="G392" s="7">
        <v>2364100</v>
      </c>
      <c r="H392" s="7">
        <v>1039000</v>
      </c>
      <c r="I392" s="7">
        <v>1325100</v>
      </c>
    </row>
    <row r="393" spans="1:9" x14ac:dyDescent="0.2">
      <c r="A393" s="1" t="s">
        <v>147</v>
      </c>
      <c r="B393" s="6" t="str">
        <f>"22151"</f>
        <v>22151</v>
      </c>
      <c r="C393" s="1" t="s">
        <v>12</v>
      </c>
      <c r="D393" s="1" t="s">
        <v>149</v>
      </c>
      <c r="E393" s="6" t="str">
        <f>"001"</f>
        <v>001</v>
      </c>
      <c r="F393" s="6">
        <v>2014</v>
      </c>
      <c r="G393" s="7">
        <v>4617300</v>
      </c>
      <c r="H393" s="7">
        <v>2232500</v>
      </c>
      <c r="I393" s="7">
        <v>2384800</v>
      </c>
    </row>
    <row r="394" spans="1:9" x14ac:dyDescent="0.2">
      <c r="A394" s="1" t="s">
        <v>147</v>
      </c>
      <c r="B394" s="6" t="str">
        <f>"22153"</f>
        <v>22153</v>
      </c>
      <c r="C394" s="1" t="s">
        <v>12</v>
      </c>
      <c r="D394" s="1" t="s">
        <v>150</v>
      </c>
      <c r="E394" s="6" t="str">
        <f>"004"</f>
        <v>004</v>
      </c>
      <c r="F394" s="6">
        <v>2022</v>
      </c>
      <c r="G394" s="7">
        <v>26959200</v>
      </c>
      <c r="H394" s="7">
        <v>1371300</v>
      </c>
      <c r="I394" s="7">
        <v>25587900</v>
      </c>
    </row>
    <row r="395" spans="1:9" x14ac:dyDescent="0.2">
      <c r="A395" s="1" t="s">
        <v>147</v>
      </c>
      <c r="B395" s="6" t="str">
        <f>"22172"</f>
        <v>22172</v>
      </c>
      <c r="C395" s="1" t="s">
        <v>12</v>
      </c>
      <c r="D395" s="1" t="s">
        <v>151</v>
      </c>
      <c r="E395" s="6" t="str">
        <f>"001"</f>
        <v>001</v>
      </c>
      <c r="F395" s="6">
        <v>2021</v>
      </c>
      <c r="G395" s="7">
        <v>8676400</v>
      </c>
      <c r="H395" s="7">
        <v>3784400</v>
      </c>
      <c r="I395" s="7">
        <v>4892000</v>
      </c>
    </row>
    <row r="396" spans="1:9" x14ac:dyDescent="0.2">
      <c r="A396" s="1" t="s">
        <v>147</v>
      </c>
      <c r="B396" s="6" t="str">
        <f>"22206"</f>
        <v>22206</v>
      </c>
      <c r="C396" s="1" t="s">
        <v>8</v>
      </c>
      <c r="D396" s="1" t="s">
        <v>152</v>
      </c>
      <c r="E396" s="6" t="str">
        <f>"004"</f>
        <v>004</v>
      </c>
      <c r="F396" s="6">
        <v>2005</v>
      </c>
      <c r="G396" s="7">
        <v>9712400</v>
      </c>
      <c r="H396" s="7">
        <v>4529300</v>
      </c>
      <c r="I396" s="7">
        <v>5183100</v>
      </c>
    </row>
    <row r="397" spans="1:9" x14ac:dyDescent="0.2">
      <c r="A397" s="1" t="s">
        <v>147</v>
      </c>
      <c r="B397" s="6" t="str">
        <f>"22206"</f>
        <v>22206</v>
      </c>
      <c r="C397" s="1" t="s">
        <v>8</v>
      </c>
      <c r="D397" s="1" t="s">
        <v>152</v>
      </c>
      <c r="E397" s="6" t="str">
        <f>"005"</f>
        <v>005</v>
      </c>
      <c r="F397" s="6">
        <v>2020</v>
      </c>
      <c r="G397" s="7">
        <v>23064200</v>
      </c>
      <c r="H397" s="7">
        <v>10941500</v>
      </c>
      <c r="I397" s="7">
        <v>12122700</v>
      </c>
    </row>
    <row r="398" spans="1:9" x14ac:dyDescent="0.2">
      <c r="A398" s="1" t="s">
        <v>147</v>
      </c>
      <c r="B398" s="6" t="str">
        <f>"22211"</f>
        <v>22211</v>
      </c>
      <c r="C398" s="1" t="s">
        <v>8</v>
      </c>
      <c r="D398" s="1" t="s">
        <v>153</v>
      </c>
      <c r="E398" s="6" t="str">
        <f>"003"</f>
        <v>003</v>
      </c>
      <c r="F398" s="6">
        <v>2012</v>
      </c>
      <c r="G398" s="7">
        <v>6274700</v>
      </c>
      <c r="H398" s="7">
        <v>2120700</v>
      </c>
      <c r="I398" s="7">
        <v>4154000</v>
      </c>
    </row>
    <row r="399" spans="1:9" x14ac:dyDescent="0.2">
      <c r="A399" s="1" t="s">
        <v>147</v>
      </c>
      <c r="B399" s="6" t="str">
        <f>"22211"</f>
        <v>22211</v>
      </c>
      <c r="C399" s="1" t="s">
        <v>8</v>
      </c>
      <c r="D399" s="1" t="s">
        <v>153</v>
      </c>
      <c r="E399" s="6" t="str">
        <f>"004"</f>
        <v>004</v>
      </c>
      <c r="F399" s="6">
        <v>2019</v>
      </c>
      <c r="G399" s="7">
        <v>15665400</v>
      </c>
      <c r="H399" s="7">
        <v>5419700</v>
      </c>
      <c r="I399" s="7">
        <v>10245700</v>
      </c>
    </row>
    <row r="400" spans="1:9" x14ac:dyDescent="0.2">
      <c r="A400" s="1" t="s">
        <v>147</v>
      </c>
      <c r="B400" s="6" t="str">
        <f>"22226"</f>
        <v>22226</v>
      </c>
      <c r="C400" s="1" t="s">
        <v>8</v>
      </c>
      <c r="D400" s="1" t="s">
        <v>154</v>
      </c>
      <c r="E400" s="6" t="str">
        <f>"006"</f>
        <v>006</v>
      </c>
      <c r="F400" s="6">
        <v>2017</v>
      </c>
      <c r="G400" s="7">
        <v>13368500</v>
      </c>
      <c r="H400" s="7">
        <v>6436600</v>
      </c>
      <c r="I400" s="7">
        <v>6931900</v>
      </c>
    </row>
    <row r="401" spans="1:9" x14ac:dyDescent="0.2">
      <c r="A401" s="1" t="s">
        <v>147</v>
      </c>
      <c r="B401" s="6" t="str">
        <f>"22226"</f>
        <v>22226</v>
      </c>
      <c r="C401" s="1" t="s">
        <v>8</v>
      </c>
      <c r="D401" s="1" t="s">
        <v>154</v>
      </c>
      <c r="E401" s="6" t="str">
        <f>"007"</f>
        <v>007</v>
      </c>
      <c r="F401" s="6">
        <v>2024</v>
      </c>
      <c r="G401" s="7">
        <v>6053100</v>
      </c>
      <c r="H401" s="7">
        <v>2779800</v>
      </c>
      <c r="I401" s="7">
        <v>3273300</v>
      </c>
    </row>
    <row r="402" spans="1:9" x14ac:dyDescent="0.2">
      <c r="A402" s="1" t="s">
        <v>147</v>
      </c>
      <c r="B402" s="6" t="str">
        <f t="shared" ref="B402:B407" si="19">"22246"</f>
        <v>22246</v>
      </c>
      <c r="C402" s="1" t="s">
        <v>8</v>
      </c>
      <c r="D402" s="1" t="s">
        <v>155</v>
      </c>
      <c r="E402" s="6" t="str">
        <f>"003"</f>
        <v>003</v>
      </c>
      <c r="F402" s="6">
        <v>2006</v>
      </c>
      <c r="G402" s="7">
        <v>16729500</v>
      </c>
      <c r="H402" s="7">
        <v>422400</v>
      </c>
      <c r="I402" s="7">
        <v>16307100</v>
      </c>
    </row>
    <row r="403" spans="1:9" x14ac:dyDescent="0.2">
      <c r="A403" s="1" t="s">
        <v>147</v>
      </c>
      <c r="B403" s="6" t="str">
        <f t="shared" si="19"/>
        <v>22246</v>
      </c>
      <c r="C403" s="1" t="s">
        <v>8</v>
      </c>
      <c r="D403" s="1" t="s">
        <v>155</v>
      </c>
      <c r="E403" s="6" t="str">
        <f>"004"</f>
        <v>004</v>
      </c>
      <c r="F403" s="6">
        <v>2006</v>
      </c>
      <c r="G403" s="7">
        <v>9481400</v>
      </c>
      <c r="H403" s="7">
        <v>2341900</v>
      </c>
      <c r="I403" s="7">
        <v>7139500</v>
      </c>
    </row>
    <row r="404" spans="1:9" x14ac:dyDescent="0.2">
      <c r="A404" s="1" t="s">
        <v>147</v>
      </c>
      <c r="B404" s="6" t="str">
        <f t="shared" si="19"/>
        <v>22246</v>
      </c>
      <c r="C404" s="1" t="s">
        <v>8</v>
      </c>
      <c r="D404" s="1" t="s">
        <v>155</v>
      </c>
      <c r="E404" s="6" t="str">
        <f>"005"</f>
        <v>005</v>
      </c>
      <c r="F404" s="6">
        <v>2018</v>
      </c>
      <c r="G404" s="7">
        <v>4196900</v>
      </c>
      <c r="H404" s="7">
        <v>0</v>
      </c>
      <c r="I404" s="7">
        <v>4196900</v>
      </c>
    </row>
    <row r="405" spans="1:9" x14ac:dyDescent="0.2">
      <c r="A405" s="1" t="s">
        <v>147</v>
      </c>
      <c r="B405" s="6" t="str">
        <f t="shared" si="19"/>
        <v>22246</v>
      </c>
      <c r="C405" s="1" t="s">
        <v>8</v>
      </c>
      <c r="D405" s="1" t="s">
        <v>155</v>
      </c>
      <c r="E405" s="6" t="str">
        <f>"006"</f>
        <v>006</v>
      </c>
      <c r="F405" s="6">
        <v>2020</v>
      </c>
      <c r="G405" s="7">
        <v>4970300</v>
      </c>
      <c r="H405" s="7">
        <v>0</v>
      </c>
      <c r="I405" s="7">
        <v>4970300</v>
      </c>
    </row>
    <row r="406" spans="1:9" x14ac:dyDescent="0.2">
      <c r="A406" s="1" t="s">
        <v>147</v>
      </c>
      <c r="B406" s="6" t="str">
        <f t="shared" si="19"/>
        <v>22246</v>
      </c>
      <c r="C406" s="1" t="s">
        <v>8</v>
      </c>
      <c r="D406" s="1" t="s">
        <v>155</v>
      </c>
      <c r="E406" s="6" t="str">
        <f>"007"</f>
        <v>007</v>
      </c>
      <c r="F406" s="6">
        <v>2021</v>
      </c>
      <c r="G406" s="7">
        <v>3234300</v>
      </c>
      <c r="H406" s="7">
        <v>2464000</v>
      </c>
      <c r="I406" s="7">
        <v>770300</v>
      </c>
    </row>
    <row r="407" spans="1:9" x14ac:dyDescent="0.2">
      <c r="A407" s="1" t="s">
        <v>147</v>
      </c>
      <c r="B407" s="6" t="str">
        <f t="shared" si="19"/>
        <v>22246</v>
      </c>
      <c r="C407" s="1" t="s">
        <v>8</v>
      </c>
      <c r="D407" s="1" t="s">
        <v>155</v>
      </c>
      <c r="E407" s="6" t="str">
        <f>"008"</f>
        <v>008</v>
      </c>
      <c r="F407" s="6">
        <v>2023</v>
      </c>
      <c r="G407" s="7">
        <v>8879200</v>
      </c>
      <c r="H407" s="7">
        <v>0</v>
      </c>
      <c r="I407" s="7">
        <v>8879200</v>
      </c>
    </row>
    <row r="408" spans="1:9" x14ac:dyDescent="0.2">
      <c r="A408" s="1" t="s">
        <v>147</v>
      </c>
      <c r="B408" s="6" t="str">
        <f>"22271"</f>
        <v>22271</v>
      </c>
      <c r="C408" s="1" t="s">
        <v>8</v>
      </c>
      <c r="D408" s="1" t="s">
        <v>156</v>
      </c>
      <c r="E408" s="6" t="str">
        <f>"006"</f>
        <v>006</v>
      </c>
      <c r="F408" s="6">
        <v>2006</v>
      </c>
      <c r="G408" s="7">
        <v>48234700</v>
      </c>
      <c r="H408" s="7">
        <v>7650000</v>
      </c>
      <c r="I408" s="7">
        <v>40584700</v>
      </c>
    </row>
    <row r="409" spans="1:9" x14ac:dyDescent="0.2">
      <c r="A409" s="1" t="s">
        <v>147</v>
      </c>
      <c r="B409" s="6" t="str">
        <f>"22271"</f>
        <v>22271</v>
      </c>
      <c r="C409" s="1" t="s">
        <v>8</v>
      </c>
      <c r="D409" s="1" t="s">
        <v>156</v>
      </c>
      <c r="E409" s="6" t="str">
        <f>"007"</f>
        <v>007</v>
      </c>
      <c r="F409" s="6">
        <v>2006</v>
      </c>
      <c r="G409" s="7">
        <v>60152100</v>
      </c>
      <c r="H409" s="7">
        <v>27588500</v>
      </c>
      <c r="I409" s="7">
        <v>32563600</v>
      </c>
    </row>
    <row r="410" spans="1:9" x14ac:dyDescent="0.2">
      <c r="A410" s="1" t="s">
        <v>147</v>
      </c>
      <c r="B410" s="6" t="str">
        <f>"22271"</f>
        <v>22271</v>
      </c>
      <c r="C410" s="1" t="s">
        <v>8</v>
      </c>
      <c r="D410" s="1" t="s">
        <v>156</v>
      </c>
      <c r="E410" s="6" t="str">
        <f>"009"</f>
        <v>009</v>
      </c>
      <c r="F410" s="6">
        <v>2023</v>
      </c>
      <c r="G410" s="7">
        <v>16527900</v>
      </c>
      <c r="H410" s="7">
        <v>5803800</v>
      </c>
      <c r="I410" s="7">
        <v>10724100</v>
      </c>
    </row>
    <row r="411" spans="1:9" x14ac:dyDescent="0.2">
      <c r="A411" s="1" t="s">
        <v>157</v>
      </c>
      <c r="B411" s="6" t="str">
        <f>"23106"</f>
        <v>23106</v>
      </c>
      <c r="C411" s="1" t="s">
        <v>12</v>
      </c>
      <c r="D411" s="1" t="s">
        <v>85</v>
      </c>
      <c r="E411" s="6" t="str">
        <f>"005"</f>
        <v>005</v>
      </c>
      <c r="F411" s="6">
        <v>2009</v>
      </c>
      <c r="G411" s="7">
        <v>516400</v>
      </c>
      <c r="H411" s="7">
        <v>368800</v>
      </c>
      <c r="I411" s="7">
        <v>147600</v>
      </c>
    </row>
    <row r="412" spans="1:9" x14ac:dyDescent="0.2">
      <c r="A412" s="1" t="s">
        <v>157</v>
      </c>
      <c r="B412" s="6" t="str">
        <f>"23151"</f>
        <v>23151</v>
      </c>
      <c r="C412" s="1" t="s">
        <v>12</v>
      </c>
      <c r="D412" s="1" t="s">
        <v>158</v>
      </c>
      <c r="E412" s="6" t="str">
        <f>"002"</f>
        <v>002</v>
      </c>
      <c r="F412" s="6">
        <v>2024</v>
      </c>
      <c r="G412" s="7">
        <v>21217900</v>
      </c>
      <c r="H412" s="7">
        <v>16445900</v>
      </c>
      <c r="I412" s="7">
        <v>4772000</v>
      </c>
    </row>
    <row r="413" spans="1:9" x14ac:dyDescent="0.2">
      <c r="A413" s="1" t="s">
        <v>157</v>
      </c>
      <c r="B413" s="6" t="str">
        <f>"23161"</f>
        <v>23161</v>
      </c>
      <c r="C413" s="1" t="s">
        <v>12</v>
      </c>
      <c r="D413" s="1" t="s">
        <v>159</v>
      </c>
      <c r="E413" s="6" t="str">
        <f>"003"</f>
        <v>003</v>
      </c>
      <c r="F413" s="6">
        <v>2006</v>
      </c>
      <c r="G413" s="7">
        <v>14452700</v>
      </c>
      <c r="H413" s="7">
        <v>19300</v>
      </c>
      <c r="I413" s="7">
        <v>14433400</v>
      </c>
    </row>
    <row r="414" spans="1:9" x14ac:dyDescent="0.2">
      <c r="A414" s="1" t="s">
        <v>157</v>
      </c>
      <c r="B414" s="6" t="str">
        <f>"23161"</f>
        <v>23161</v>
      </c>
      <c r="C414" s="1" t="s">
        <v>12</v>
      </c>
      <c r="D414" s="1" t="s">
        <v>159</v>
      </c>
      <c r="E414" s="6" t="str">
        <f>"004"</f>
        <v>004</v>
      </c>
      <c r="F414" s="6">
        <v>2015</v>
      </c>
      <c r="G414" s="7">
        <v>29718200</v>
      </c>
      <c r="H414" s="7">
        <v>14109000</v>
      </c>
      <c r="I414" s="7">
        <v>15609200</v>
      </c>
    </row>
    <row r="415" spans="1:9" x14ac:dyDescent="0.2">
      <c r="A415" s="1" t="s">
        <v>157</v>
      </c>
      <c r="B415" s="6" t="str">
        <f>"23161"</f>
        <v>23161</v>
      </c>
      <c r="C415" s="1" t="s">
        <v>12</v>
      </c>
      <c r="D415" s="1" t="s">
        <v>159</v>
      </c>
      <c r="E415" s="6" t="str">
        <f>"005"</f>
        <v>005</v>
      </c>
      <c r="F415" s="6">
        <v>2024</v>
      </c>
      <c r="G415" s="7">
        <v>14442200</v>
      </c>
      <c r="H415" s="7">
        <v>13667200</v>
      </c>
      <c r="I415" s="7">
        <v>775000</v>
      </c>
    </row>
    <row r="416" spans="1:9" x14ac:dyDescent="0.2">
      <c r="A416" s="1" t="s">
        <v>157</v>
      </c>
      <c r="B416" s="6" t="str">
        <f>"23206"</f>
        <v>23206</v>
      </c>
      <c r="C416" s="1" t="s">
        <v>8</v>
      </c>
      <c r="D416" s="1" t="s">
        <v>160</v>
      </c>
      <c r="E416" s="6" t="str">
        <f>"005"</f>
        <v>005</v>
      </c>
      <c r="F416" s="6">
        <v>2005</v>
      </c>
      <c r="G416" s="7">
        <v>2950600</v>
      </c>
      <c r="H416" s="7">
        <v>1418600</v>
      </c>
      <c r="I416" s="7">
        <v>1532000</v>
      </c>
    </row>
    <row r="417" spans="1:9" x14ac:dyDescent="0.2">
      <c r="A417" s="1" t="s">
        <v>157</v>
      </c>
      <c r="B417" s="6" t="str">
        <f>"23206"</f>
        <v>23206</v>
      </c>
      <c r="C417" s="1" t="s">
        <v>8</v>
      </c>
      <c r="D417" s="1" t="s">
        <v>160</v>
      </c>
      <c r="E417" s="6" t="str">
        <f>"006"</f>
        <v>006</v>
      </c>
      <c r="F417" s="6">
        <v>2006</v>
      </c>
      <c r="G417" s="7">
        <v>3931500</v>
      </c>
      <c r="H417" s="7">
        <v>1170300</v>
      </c>
      <c r="I417" s="7">
        <v>2761200</v>
      </c>
    </row>
    <row r="418" spans="1:9" x14ac:dyDescent="0.2">
      <c r="A418" s="1" t="s">
        <v>157</v>
      </c>
      <c r="B418" s="6" t="str">
        <f>"23206"</f>
        <v>23206</v>
      </c>
      <c r="C418" s="1" t="s">
        <v>8</v>
      </c>
      <c r="D418" s="1" t="s">
        <v>160</v>
      </c>
      <c r="E418" s="6" t="str">
        <f>"007"</f>
        <v>007</v>
      </c>
      <c r="F418" s="6">
        <v>2013</v>
      </c>
      <c r="G418" s="7">
        <v>8832500</v>
      </c>
      <c r="H418" s="7">
        <v>3897000</v>
      </c>
      <c r="I418" s="7">
        <v>4935500</v>
      </c>
    </row>
    <row r="419" spans="1:9" x14ac:dyDescent="0.2">
      <c r="A419" s="1" t="s">
        <v>157</v>
      </c>
      <c r="B419" s="6" t="str">
        <f>"23206"</f>
        <v>23206</v>
      </c>
      <c r="C419" s="1" t="s">
        <v>8</v>
      </c>
      <c r="D419" s="1" t="s">
        <v>160</v>
      </c>
      <c r="E419" s="6" t="str">
        <f>"008"</f>
        <v>008</v>
      </c>
      <c r="F419" s="6">
        <v>2021</v>
      </c>
      <c r="G419" s="7">
        <v>8642400</v>
      </c>
      <c r="H419" s="7">
        <v>3596500</v>
      </c>
      <c r="I419" s="7">
        <v>5045900</v>
      </c>
    </row>
    <row r="420" spans="1:9" x14ac:dyDescent="0.2">
      <c r="A420" s="1" t="s">
        <v>157</v>
      </c>
      <c r="B420" s="6" t="str">
        <f>"23251"</f>
        <v>23251</v>
      </c>
      <c r="C420" s="1" t="s">
        <v>8</v>
      </c>
      <c r="D420" s="1" t="s">
        <v>161</v>
      </c>
      <c r="E420" s="6" t="str">
        <f>"007"</f>
        <v>007</v>
      </c>
      <c r="F420" s="6">
        <v>2005</v>
      </c>
      <c r="G420" s="7">
        <v>63158200</v>
      </c>
      <c r="H420" s="7">
        <v>29828900</v>
      </c>
      <c r="I420" s="7">
        <v>33329300</v>
      </c>
    </row>
    <row r="421" spans="1:9" x14ac:dyDescent="0.2">
      <c r="A421" s="1" t="s">
        <v>157</v>
      </c>
      <c r="B421" s="6" t="str">
        <f>"23251"</f>
        <v>23251</v>
      </c>
      <c r="C421" s="1" t="s">
        <v>8</v>
      </c>
      <c r="D421" s="1" t="s">
        <v>161</v>
      </c>
      <c r="E421" s="6" t="str">
        <f>"008"</f>
        <v>008</v>
      </c>
      <c r="F421" s="6">
        <v>2007</v>
      </c>
      <c r="G421" s="7">
        <v>7123400</v>
      </c>
      <c r="H421" s="7">
        <v>2310200</v>
      </c>
      <c r="I421" s="7">
        <v>4813200</v>
      </c>
    </row>
    <row r="422" spans="1:9" x14ac:dyDescent="0.2">
      <c r="A422" s="1" t="s">
        <v>157</v>
      </c>
      <c r="B422" s="6" t="str">
        <f>"23251"</f>
        <v>23251</v>
      </c>
      <c r="C422" s="1" t="s">
        <v>8</v>
      </c>
      <c r="D422" s="1" t="s">
        <v>161</v>
      </c>
      <c r="E422" s="6" t="str">
        <f>"009"</f>
        <v>009</v>
      </c>
      <c r="F422" s="6">
        <v>2018</v>
      </c>
      <c r="G422" s="7">
        <v>29718800</v>
      </c>
      <c r="H422" s="7">
        <v>17768100</v>
      </c>
      <c r="I422" s="7">
        <v>11950700</v>
      </c>
    </row>
    <row r="423" spans="1:9" x14ac:dyDescent="0.2">
      <c r="A423" s="1" t="s">
        <v>157</v>
      </c>
      <c r="B423" s="6" t="str">
        <f>"23251"</f>
        <v>23251</v>
      </c>
      <c r="C423" s="1" t="s">
        <v>8</v>
      </c>
      <c r="D423" s="1" t="s">
        <v>161</v>
      </c>
      <c r="E423" s="6" t="str">
        <f>"010"</f>
        <v>010</v>
      </c>
      <c r="F423" s="6">
        <v>2017</v>
      </c>
      <c r="G423" s="7">
        <v>26651800</v>
      </c>
      <c r="H423" s="7">
        <v>15551400</v>
      </c>
      <c r="I423" s="7">
        <v>11100400</v>
      </c>
    </row>
    <row r="424" spans="1:9" x14ac:dyDescent="0.2">
      <c r="A424" s="1" t="s">
        <v>157</v>
      </c>
      <c r="B424" s="6" t="str">
        <f>"23251"</f>
        <v>23251</v>
      </c>
      <c r="C424" s="1" t="s">
        <v>8</v>
      </c>
      <c r="D424" s="1" t="s">
        <v>161</v>
      </c>
      <c r="E424" s="6" t="str">
        <f>"011"</f>
        <v>011</v>
      </c>
      <c r="F424" s="6">
        <v>2021</v>
      </c>
      <c r="G424" s="7">
        <v>29857300</v>
      </c>
      <c r="H424" s="7">
        <v>20055100</v>
      </c>
      <c r="I424" s="7">
        <v>9802200</v>
      </c>
    </row>
    <row r="425" spans="1:9" x14ac:dyDescent="0.2">
      <c r="A425" s="1" t="s">
        <v>162</v>
      </c>
      <c r="B425" s="6" t="str">
        <f>"24206"</f>
        <v>24206</v>
      </c>
      <c r="C425" s="1" t="s">
        <v>8</v>
      </c>
      <c r="D425" s="1" t="s">
        <v>163</v>
      </c>
      <c r="E425" s="6" t="str">
        <f>"001E"</f>
        <v>001E</v>
      </c>
      <c r="F425" s="6">
        <v>2003</v>
      </c>
      <c r="G425" s="7">
        <v>1422400</v>
      </c>
      <c r="H425" s="7">
        <v>615300</v>
      </c>
      <c r="I425" s="7">
        <v>807100</v>
      </c>
    </row>
    <row r="426" spans="1:9" x14ac:dyDescent="0.2">
      <c r="A426" s="1" t="s">
        <v>162</v>
      </c>
      <c r="B426" s="6" t="str">
        <f>"24206"</f>
        <v>24206</v>
      </c>
      <c r="C426" s="1" t="s">
        <v>8</v>
      </c>
      <c r="D426" s="1" t="s">
        <v>163</v>
      </c>
      <c r="E426" s="6" t="str">
        <f>"002E"</f>
        <v>002E</v>
      </c>
      <c r="F426" s="6">
        <v>2007</v>
      </c>
      <c r="G426" s="7">
        <v>105000</v>
      </c>
      <c r="H426" s="7">
        <v>105000</v>
      </c>
      <c r="I426" s="7">
        <v>0</v>
      </c>
    </row>
    <row r="427" spans="1:9" x14ac:dyDescent="0.2">
      <c r="A427" s="1" t="s">
        <v>162</v>
      </c>
      <c r="B427" s="6" t="str">
        <f>"24206"</f>
        <v>24206</v>
      </c>
      <c r="C427" s="1" t="s">
        <v>8</v>
      </c>
      <c r="D427" s="1" t="s">
        <v>163</v>
      </c>
      <c r="E427" s="6" t="str">
        <f>"015"</f>
        <v>015</v>
      </c>
      <c r="F427" s="6">
        <v>2008</v>
      </c>
      <c r="G427" s="7">
        <v>12491500</v>
      </c>
      <c r="H427" s="7">
        <v>12491500</v>
      </c>
      <c r="I427" s="7">
        <v>0</v>
      </c>
    </row>
    <row r="428" spans="1:9" x14ac:dyDescent="0.2">
      <c r="A428" s="1" t="s">
        <v>162</v>
      </c>
      <c r="B428" s="6" t="str">
        <f>"24206"</f>
        <v>24206</v>
      </c>
      <c r="C428" s="1" t="s">
        <v>8</v>
      </c>
      <c r="D428" s="1" t="s">
        <v>163</v>
      </c>
      <c r="E428" s="6" t="str">
        <f>"016"</f>
        <v>016</v>
      </c>
      <c r="F428" s="6">
        <v>2024</v>
      </c>
      <c r="G428" s="7">
        <v>3221000</v>
      </c>
      <c r="H428" s="7">
        <v>2387500</v>
      </c>
      <c r="I428" s="7">
        <v>833500</v>
      </c>
    </row>
    <row r="429" spans="1:9" x14ac:dyDescent="0.2">
      <c r="A429" s="1" t="s">
        <v>162</v>
      </c>
      <c r="B429" s="6" t="str">
        <f>"24231"</f>
        <v>24231</v>
      </c>
      <c r="C429" s="1" t="s">
        <v>8</v>
      </c>
      <c r="D429" s="1" t="s">
        <v>162</v>
      </c>
      <c r="E429" s="6" t="str">
        <f>"003"</f>
        <v>003</v>
      </c>
      <c r="F429" s="6">
        <v>2005</v>
      </c>
      <c r="G429" s="7">
        <v>36532600</v>
      </c>
      <c r="H429" s="7">
        <v>8779500</v>
      </c>
      <c r="I429" s="7">
        <v>27753100</v>
      </c>
    </row>
    <row r="430" spans="1:9" x14ac:dyDescent="0.2">
      <c r="A430" s="1" t="s">
        <v>162</v>
      </c>
      <c r="B430" s="6" t="str">
        <f>"24231"</f>
        <v>24231</v>
      </c>
      <c r="C430" s="1" t="s">
        <v>8</v>
      </c>
      <c r="D430" s="1" t="s">
        <v>162</v>
      </c>
      <c r="E430" s="6" t="str">
        <f>"004"</f>
        <v>004</v>
      </c>
      <c r="F430" s="6">
        <v>2009</v>
      </c>
      <c r="G430" s="7">
        <v>195300</v>
      </c>
      <c r="H430" s="7">
        <v>237700</v>
      </c>
      <c r="I430" s="7">
        <v>-42400</v>
      </c>
    </row>
    <row r="431" spans="1:9" x14ac:dyDescent="0.2">
      <c r="A431" s="1" t="s">
        <v>162</v>
      </c>
      <c r="B431" s="6" t="str">
        <f>"24231"</f>
        <v>24231</v>
      </c>
      <c r="C431" s="1" t="s">
        <v>8</v>
      </c>
      <c r="D431" s="1" t="s">
        <v>162</v>
      </c>
      <c r="E431" s="6" t="str">
        <f>"005"</f>
        <v>005</v>
      </c>
      <c r="F431" s="6">
        <v>2020</v>
      </c>
      <c r="G431" s="7">
        <v>18442100</v>
      </c>
      <c r="H431" s="7">
        <v>5673600</v>
      </c>
      <c r="I431" s="7">
        <v>12768500</v>
      </c>
    </row>
    <row r="432" spans="1:9" x14ac:dyDescent="0.2">
      <c r="A432" s="1" t="s">
        <v>162</v>
      </c>
      <c r="B432" s="6" t="str">
        <f>"24231"</f>
        <v>24231</v>
      </c>
      <c r="C432" s="1" t="s">
        <v>8</v>
      </c>
      <c r="D432" s="1" t="s">
        <v>162</v>
      </c>
      <c r="E432" s="6" t="str">
        <f>"006"</f>
        <v>006</v>
      </c>
      <c r="F432" s="6">
        <v>2021</v>
      </c>
      <c r="G432" s="7">
        <v>2177300</v>
      </c>
      <c r="H432" s="7">
        <v>628700</v>
      </c>
      <c r="I432" s="7">
        <v>1548600</v>
      </c>
    </row>
    <row r="433" spans="1:9" x14ac:dyDescent="0.2">
      <c r="A433" s="1" t="s">
        <v>162</v>
      </c>
      <c r="B433" s="6" t="str">
        <f>"24231"</f>
        <v>24231</v>
      </c>
      <c r="C433" s="1" t="s">
        <v>8</v>
      </c>
      <c r="D433" s="1" t="s">
        <v>162</v>
      </c>
      <c r="E433" s="6" t="str">
        <f>"007"</f>
        <v>007</v>
      </c>
      <c r="F433" s="6">
        <v>2024</v>
      </c>
      <c r="G433" s="7">
        <v>2356600</v>
      </c>
      <c r="H433" s="7">
        <v>2190500</v>
      </c>
      <c r="I433" s="7">
        <v>166100</v>
      </c>
    </row>
    <row r="434" spans="1:9" x14ac:dyDescent="0.2">
      <c r="A434" s="1" t="s">
        <v>162</v>
      </c>
      <c r="B434" s="6" t="str">
        <f>"24271"</f>
        <v>24271</v>
      </c>
      <c r="C434" s="1" t="s">
        <v>8</v>
      </c>
      <c r="D434" s="1" t="s">
        <v>164</v>
      </c>
      <c r="E434" s="6" t="str">
        <f>"002"</f>
        <v>002</v>
      </c>
      <c r="F434" s="6">
        <v>2001</v>
      </c>
      <c r="G434" s="7">
        <v>11580900</v>
      </c>
      <c r="H434" s="7">
        <v>4801300</v>
      </c>
      <c r="I434" s="7">
        <v>6779600</v>
      </c>
    </row>
    <row r="435" spans="1:9" x14ac:dyDescent="0.2">
      <c r="A435" s="1" t="s">
        <v>165</v>
      </c>
      <c r="B435" s="6" t="str">
        <f>"25101"</f>
        <v>25101</v>
      </c>
      <c r="C435" s="1" t="s">
        <v>12</v>
      </c>
      <c r="D435" s="1" t="s">
        <v>166</v>
      </c>
      <c r="E435" s="6" t="str">
        <f>"001"</f>
        <v>001</v>
      </c>
      <c r="F435" s="6">
        <v>2006</v>
      </c>
      <c r="G435" s="7">
        <v>27615500</v>
      </c>
      <c r="H435" s="7">
        <v>4968900</v>
      </c>
      <c r="I435" s="7">
        <v>22646600</v>
      </c>
    </row>
    <row r="436" spans="1:9" x14ac:dyDescent="0.2">
      <c r="A436" s="1" t="s">
        <v>165</v>
      </c>
      <c r="B436" s="6" t="str">
        <f>"25106"</f>
        <v>25106</v>
      </c>
      <c r="C436" s="1" t="s">
        <v>12</v>
      </c>
      <c r="D436" s="1" t="s">
        <v>167</v>
      </c>
      <c r="E436" s="6" t="str">
        <f>"001"</f>
        <v>001</v>
      </c>
      <c r="F436" s="6">
        <v>2002</v>
      </c>
      <c r="G436" s="7">
        <v>16184000</v>
      </c>
      <c r="H436" s="7">
        <v>1666200</v>
      </c>
      <c r="I436" s="7">
        <v>14517800</v>
      </c>
    </row>
    <row r="437" spans="1:9" x14ac:dyDescent="0.2">
      <c r="A437" s="1" t="s">
        <v>165</v>
      </c>
      <c r="B437" s="6" t="str">
        <f>"25106"</f>
        <v>25106</v>
      </c>
      <c r="C437" s="1" t="s">
        <v>12</v>
      </c>
      <c r="D437" s="1" t="s">
        <v>167</v>
      </c>
      <c r="E437" s="6" t="str">
        <f>"002"</f>
        <v>002</v>
      </c>
      <c r="F437" s="6">
        <v>2015</v>
      </c>
      <c r="G437" s="7">
        <v>57605200</v>
      </c>
      <c r="H437" s="7">
        <v>220700</v>
      </c>
      <c r="I437" s="7">
        <v>57384500</v>
      </c>
    </row>
    <row r="438" spans="1:9" x14ac:dyDescent="0.2">
      <c r="A438" s="1" t="s">
        <v>165</v>
      </c>
      <c r="B438" s="6" t="str">
        <f>"25108"</f>
        <v>25108</v>
      </c>
      <c r="C438" s="1" t="s">
        <v>12</v>
      </c>
      <c r="D438" s="1" t="s">
        <v>168</v>
      </c>
      <c r="E438" s="6" t="str">
        <f>"001"</f>
        <v>001</v>
      </c>
      <c r="F438" s="6">
        <v>2024</v>
      </c>
      <c r="G438" s="7">
        <v>785500</v>
      </c>
      <c r="H438" s="7">
        <v>681900</v>
      </c>
      <c r="I438" s="7">
        <v>103600</v>
      </c>
    </row>
    <row r="439" spans="1:9" x14ac:dyDescent="0.2">
      <c r="A439" s="1" t="s">
        <v>165</v>
      </c>
      <c r="B439" s="6" t="str">
        <f>"25153"</f>
        <v>25153</v>
      </c>
      <c r="C439" s="1" t="s">
        <v>12</v>
      </c>
      <c r="D439" s="1" t="s">
        <v>150</v>
      </c>
      <c r="E439" s="6" t="str">
        <f>"005"</f>
        <v>005</v>
      </c>
      <c r="F439" s="6">
        <v>2023</v>
      </c>
      <c r="G439" s="7">
        <v>4455800</v>
      </c>
      <c r="H439" s="7">
        <v>3224700</v>
      </c>
      <c r="I439" s="7">
        <v>1231100</v>
      </c>
    </row>
    <row r="440" spans="1:9" x14ac:dyDescent="0.2">
      <c r="A440" s="1" t="s">
        <v>165</v>
      </c>
      <c r="B440" s="6" t="str">
        <f>"25177"</f>
        <v>25177</v>
      </c>
      <c r="C440" s="1" t="s">
        <v>12</v>
      </c>
      <c r="D440" s="1" t="s">
        <v>169</v>
      </c>
      <c r="E440" s="6" t="str">
        <f>"001"</f>
        <v>001</v>
      </c>
      <c r="F440" s="6">
        <v>2007</v>
      </c>
      <c r="G440" s="7">
        <v>17276200</v>
      </c>
      <c r="H440" s="7">
        <v>2787500</v>
      </c>
      <c r="I440" s="7">
        <v>14488700</v>
      </c>
    </row>
    <row r="441" spans="1:9" x14ac:dyDescent="0.2">
      <c r="A441" s="1" t="s">
        <v>165</v>
      </c>
      <c r="B441" s="6" t="str">
        <f>"25216"</f>
        <v>25216</v>
      </c>
      <c r="C441" s="1" t="s">
        <v>8</v>
      </c>
      <c r="D441" s="1" t="s">
        <v>170</v>
      </c>
      <c r="E441" s="6" t="str">
        <f>"003"</f>
        <v>003</v>
      </c>
      <c r="F441" s="6">
        <v>2020</v>
      </c>
      <c r="G441" s="7">
        <v>14856300</v>
      </c>
      <c r="H441" s="7">
        <v>1867900</v>
      </c>
      <c r="I441" s="7">
        <v>12988400</v>
      </c>
    </row>
    <row r="442" spans="1:9" x14ac:dyDescent="0.2">
      <c r="A442" s="1" t="s">
        <v>165</v>
      </c>
      <c r="B442" s="6" t="str">
        <f>"25251"</f>
        <v>25251</v>
      </c>
      <c r="C442" s="1" t="s">
        <v>8</v>
      </c>
      <c r="D442" s="1" t="s">
        <v>171</v>
      </c>
      <c r="E442" s="6" t="str">
        <f>"002"</f>
        <v>002</v>
      </c>
      <c r="F442" s="6">
        <v>2023</v>
      </c>
      <c r="G442" s="7">
        <v>28212000</v>
      </c>
      <c r="H442" s="7">
        <v>15696700</v>
      </c>
      <c r="I442" s="7">
        <v>12515300</v>
      </c>
    </row>
    <row r="443" spans="1:9" x14ac:dyDescent="0.2">
      <c r="A443" s="1" t="s">
        <v>172</v>
      </c>
      <c r="B443" s="6" t="str">
        <f>"27136"</f>
        <v>27136</v>
      </c>
      <c r="C443" s="1" t="s">
        <v>12</v>
      </c>
      <c r="D443" s="1" t="s">
        <v>173</v>
      </c>
      <c r="E443" s="6" t="str">
        <f>"001"</f>
        <v>001</v>
      </c>
      <c r="F443" s="6">
        <v>2007</v>
      </c>
      <c r="G443" s="7">
        <v>15322000</v>
      </c>
      <c r="H443" s="7">
        <v>1379100</v>
      </c>
      <c r="I443" s="7">
        <v>13942900</v>
      </c>
    </row>
    <row r="444" spans="1:9" x14ac:dyDescent="0.2">
      <c r="A444" s="1" t="s">
        <v>172</v>
      </c>
      <c r="B444" s="6" t="str">
        <f>"27152"</f>
        <v>27152</v>
      </c>
      <c r="C444" s="1" t="s">
        <v>12</v>
      </c>
      <c r="D444" s="1" t="s">
        <v>174</v>
      </c>
      <c r="E444" s="6" t="str">
        <f>"001"</f>
        <v>001</v>
      </c>
      <c r="F444" s="6">
        <v>2018</v>
      </c>
      <c r="G444" s="7">
        <v>5595900</v>
      </c>
      <c r="H444" s="7">
        <v>2520600</v>
      </c>
      <c r="I444" s="7">
        <v>3075300</v>
      </c>
    </row>
    <row r="445" spans="1:9" x14ac:dyDescent="0.2">
      <c r="A445" s="1" t="s">
        <v>172</v>
      </c>
      <c r="B445" s="6" t="str">
        <f>"27186"</f>
        <v>27186</v>
      </c>
      <c r="C445" s="1" t="s">
        <v>12</v>
      </c>
      <c r="D445" s="1" t="s">
        <v>175</v>
      </c>
      <c r="E445" s="6" t="str">
        <f>"004"</f>
        <v>004</v>
      </c>
      <c r="F445" s="6">
        <v>1999</v>
      </c>
      <c r="G445" s="7">
        <v>1208700</v>
      </c>
      <c r="H445" s="7">
        <v>359100</v>
      </c>
      <c r="I445" s="7">
        <v>849600</v>
      </c>
    </row>
    <row r="446" spans="1:9" x14ac:dyDescent="0.2">
      <c r="A446" s="1" t="s">
        <v>172</v>
      </c>
      <c r="B446" s="6" t="str">
        <f>"27206"</f>
        <v>27206</v>
      </c>
      <c r="C446" s="1" t="s">
        <v>8</v>
      </c>
      <c r="D446" s="1" t="s">
        <v>176</v>
      </c>
      <c r="E446" s="6" t="str">
        <f>"003"</f>
        <v>003</v>
      </c>
      <c r="F446" s="6">
        <v>2002</v>
      </c>
      <c r="G446" s="7">
        <v>17068000</v>
      </c>
      <c r="H446" s="7">
        <v>496100</v>
      </c>
      <c r="I446" s="7">
        <v>16571900</v>
      </c>
    </row>
    <row r="447" spans="1:9" x14ac:dyDescent="0.2">
      <c r="A447" s="1" t="s">
        <v>172</v>
      </c>
      <c r="B447" s="6" t="str">
        <f>"27206"</f>
        <v>27206</v>
      </c>
      <c r="C447" s="1" t="s">
        <v>8</v>
      </c>
      <c r="D447" s="1" t="s">
        <v>176</v>
      </c>
      <c r="E447" s="6" t="str">
        <f>"006"</f>
        <v>006</v>
      </c>
      <c r="F447" s="6">
        <v>2017</v>
      </c>
      <c r="G447" s="7">
        <v>12493600</v>
      </c>
      <c r="H447" s="7">
        <v>7419400</v>
      </c>
      <c r="I447" s="7">
        <v>5074200</v>
      </c>
    </row>
    <row r="448" spans="1:9" x14ac:dyDescent="0.2">
      <c r="A448" s="1" t="s">
        <v>172</v>
      </c>
      <c r="B448" s="6" t="str">
        <f>"27206"</f>
        <v>27206</v>
      </c>
      <c r="C448" s="1" t="s">
        <v>8</v>
      </c>
      <c r="D448" s="1" t="s">
        <v>176</v>
      </c>
      <c r="E448" s="6" t="str">
        <f>"007"</f>
        <v>007</v>
      </c>
      <c r="F448" s="6">
        <v>2017</v>
      </c>
      <c r="G448" s="7">
        <v>386400</v>
      </c>
      <c r="H448" s="7">
        <v>0</v>
      </c>
      <c r="I448" s="7">
        <v>386400</v>
      </c>
    </row>
    <row r="449" spans="1:9" x14ac:dyDescent="0.2">
      <c r="A449" s="1" t="s">
        <v>172</v>
      </c>
      <c r="B449" s="6" t="str">
        <f>"27206"</f>
        <v>27206</v>
      </c>
      <c r="C449" s="1" t="s">
        <v>8</v>
      </c>
      <c r="D449" s="1" t="s">
        <v>176</v>
      </c>
      <c r="E449" s="6" t="str">
        <f>"008"</f>
        <v>008</v>
      </c>
      <c r="F449" s="6">
        <v>2021</v>
      </c>
      <c r="G449" s="7">
        <v>12168300</v>
      </c>
      <c r="H449" s="7">
        <v>338600</v>
      </c>
      <c r="I449" s="7">
        <v>11829700</v>
      </c>
    </row>
    <row r="450" spans="1:9" x14ac:dyDescent="0.2">
      <c r="A450" s="1" t="s">
        <v>172</v>
      </c>
      <c r="B450" s="6" t="str">
        <f>"27206"</f>
        <v>27206</v>
      </c>
      <c r="C450" s="1" t="s">
        <v>8</v>
      </c>
      <c r="D450" s="1" t="s">
        <v>176</v>
      </c>
      <c r="E450" s="6" t="str">
        <f>"009"</f>
        <v>009</v>
      </c>
      <c r="F450" s="6">
        <v>2022</v>
      </c>
      <c r="G450" s="7">
        <v>5010200</v>
      </c>
      <c r="H450" s="7">
        <v>1952300</v>
      </c>
      <c r="I450" s="7">
        <v>3057900</v>
      </c>
    </row>
    <row r="451" spans="1:9" x14ac:dyDescent="0.2">
      <c r="A451" s="1" t="s">
        <v>177</v>
      </c>
      <c r="B451" s="6" t="str">
        <f>"28012"</f>
        <v>28012</v>
      </c>
      <c r="C451" s="1" t="s">
        <v>6</v>
      </c>
      <c r="D451" s="1" t="s">
        <v>178</v>
      </c>
      <c r="E451" s="6" t="str">
        <f>"001A"</f>
        <v>001A</v>
      </c>
      <c r="F451" s="6">
        <v>2024</v>
      </c>
      <c r="G451" s="7">
        <v>34909600</v>
      </c>
      <c r="H451" s="7">
        <v>31977200</v>
      </c>
      <c r="I451" s="7">
        <v>2932400</v>
      </c>
    </row>
    <row r="452" spans="1:9" x14ac:dyDescent="0.2">
      <c r="A452" s="1" t="s">
        <v>177</v>
      </c>
      <c r="B452" s="6" t="str">
        <f>"28141"</f>
        <v>28141</v>
      </c>
      <c r="C452" s="1" t="s">
        <v>12</v>
      </c>
      <c r="D452" s="1" t="s">
        <v>179</v>
      </c>
      <c r="E452" s="6" t="str">
        <f>"004"</f>
        <v>004</v>
      </c>
      <c r="F452" s="6">
        <v>2021</v>
      </c>
      <c r="G452" s="7">
        <v>21225100</v>
      </c>
      <c r="H452" s="7">
        <v>13624700</v>
      </c>
      <c r="I452" s="7">
        <v>7600400</v>
      </c>
    </row>
    <row r="453" spans="1:9" x14ac:dyDescent="0.2">
      <c r="A453" s="1" t="s">
        <v>177</v>
      </c>
      <c r="B453" s="6" t="str">
        <f>"28171"</f>
        <v>28171</v>
      </c>
      <c r="C453" s="1" t="s">
        <v>12</v>
      </c>
      <c r="D453" s="1" t="s">
        <v>180</v>
      </c>
      <c r="E453" s="6" t="str">
        <f>"003"</f>
        <v>003</v>
      </c>
      <c r="F453" s="6">
        <v>2006</v>
      </c>
      <c r="G453" s="7">
        <v>7937600</v>
      </c>
      <c r="H453" s="7">
        <v>442200</v>
      </c>
      <c r="I453" s="7">
        <v>7495400</v>
      </c>
    </row>
    <row r="454" spans="1:9" x14ac:dyDescent="0.2">
      <c r="A454" s="1" t="s">
        <v>177</v>
      </c>
      <c r="B454" s="6" t="str">
        <f>"28171"</f>
        <v>28171</v>
      </c>
      <c r="C454" s="1" t="s">
        <v>12</v>
      </c>
      <c r="D454" s="1" t="s">
        <v>180</v>
      </c>
      <c r="E454" s="6" t="str">
        <f>"004"</f>
        <v>004</v>
      </c>
      <c r="F454" s="6">
        <v>2023</v>
      </c>
      <c r="G454" s="7">
        <v>15240600</v>
      </c>
      <c r="H454" s="7">
        <v>11981000</v>
      </c>
      <c r="I454" s="7">
        <v>3259600</v>
      </c>
    </row>
    <row r="455" spans="1:9" x14ac:dyDescent="0.2">
      <c r="A455" s="1" t="s">
        <v>177</v>
      </c>
      <c r="B455" s="6" t="str">
        <f>"28226"</f>
        <v>28226</v>
      </c>
      <c r="C455" s="1" t="s">
        <v>8</v>
      </c>
      <c r="D455" s="1" t="s">
        <v>181</v>
      </c>
      <c r="E455" s="6" t="str">
        <f>"006"</f>
        <v>006</v>
      </c>
      <c r="F455" s="6">
        <v>2000</v>
      </c>
      <c r="G455" s="7">
        <v>9400200</v>
      </c>
      <c r="H455" s="7">
        <v>1135400</v>
      </c>
      <c r="I455" s="7">
        <v>8264800</v>
      </c>
    </row>
    <row r="456" spans="1:9" x14ac:dyDescent="0.2">
      <c r="A456" s="1" t="s">
        <v>177</v>
      </c>
      <c r="B456" s="6" t="str">
        <f>"28226"</f>
        <v>28226</v>
      </c>
      <c r="C456" s="1" t="s">
        <v>8</v>
      </c>
      <c r="D456" s="1" t="s">
        <v>181</v>
      </c>
      <c r="E456" s="6" t="str">
        <f>"007"</f>
        <v>007</v>
      </c>
      <c r="F456" s="6">
        <v>2000</v>
      </c>
      <c r="G456" s="7">
        <v>34980700</v>
      </c>
      <c r="H456" s="7">
        <v>11239400</v>
      </c>
      <c r="I456" s="7">
        <v>23741300</v>
      </c>
    </row>
    <row r="457" spans="1:9" x14ac:dyDescent="0.2">
      <c r="A457" s="1" t="s">
        <v>177</v>
      </c>
      <c r="B457" s="6" t="str">
        <f>"28226"</f>
        <v>28226</v>
      </c>
      <c r="C457" s="1" t="s">
        <v>8</v>
      </c>
      <c r="D457" s="1" t="s">
        <v>181</v>
      </c>
      <c r="E457" s="6" t="str">
        <f>"009"</f>
        <v>009</v>
      </c>
      <c r="F457" s="6">
        <v>2023</v>
      </c>
      <c r="G457" s="7">
        <v>27590700</v>
      </c>
      <c r="H457" s="7">
        <v>23689600</v>
      </c>
      <c r="I457" s="7">
        <v>3901100</v>
      </c>
    </row>
    <row r="458" spans="1:9" x14ac:dyDescent="0.2">
      <c r="A458" s="1" t="s">
        <v>177</v>
      </c>
      <c r="B458" s="6" t="str">
        <f>"28226"</f>
        <v>28226</v>
      </c>
      <c r="C458" s="1" t="s">
        <v>8</v>
      </c>
      <c r="D458" s="1" t="s">
        <v>181</v>
      </c>
      <c r="E458" s="6" t="str">
        <f>"010"</f>
        <v>010</v>
      </c>
      <c r="F458" s="6">
        <v>2023</v>
      </c>
      <c r="G458" s="7">
        <v>30148100</v>
      </c>
      <c r="H458" s="7">
        <v>23751700</v>
      </c>
      <c r="I458" s="7">
        <v>6396400</v>
      </c>
    </row>
    <row r="459" spans="1:9" x14ac:dyDescent="0.2">
      <c r="A459" s="1" t="s">
        <v>177</v>
      </c>
      <c r="B459" s="6" t="str">
        <f t="shared" ref="B459:B464" si="20">"28241"</f>
        <v>28241</v>
      </c>
      <c r="C459" s="1" t="s">
        <v>8</v>
      </c>
      <c r="D459" s="1" t="s">
        <v>177</v>
      </c>
      <c r="E459" s="6" t="str">
        <f>"005"</f>
        <v>005</v>
      </c>
      <c r="F459" s="6">
        <v>2001</v>
      </c>
      <c r="G459" s="7">
        <v>53044300</v>
      </c>
      <c r="H459" s="7">
        <v>18934600</v>
      </c>
      <c r="I459" s="7">
        <v>34109700</v>
      </c>
    </row>
    <row r="460" spans="1:9" x14ac:dyDescent="0.2">
      <c r="A460" s="1" t="s">
        <v>177</v>
      </c>
      <c r="B460" s="6" t="str">
        <f t="shared" si="20"/>
        <v>28241</v>
      </c>
      <c r="C460" s="1" t="s">
        <v>8</v>
      </c>
      <c r="D460" s="1" t="s">
        <v>177</v>
      </c>
      <c r="E460" s="6" t="str">
        <f>"007"</f>
        <v>007</v>
      </c>
      <c r="F460" s="6">
        <v>2012</v>
      </c>
      <c r="G460" s="7">
        <v>17154800</v>
      </c>
      <c r="H460" s="7">
        <v>10500</v>
      </c>
      <c r="I460" s="7">
        <v>17144300</v>
      </c>
    </row>
    <row r="461" spans="1:9" x14ac:dyDescent="0.2">
      <c r="A461" s="1" t="s">
        <v>177</v>
      </c>
      <c r="B461" s="6" t="str">
        <f t="shared" si="20"/>
        <v>28241</v>
      </c>
      <c r="C461" s="1" t="s">
        <v>8</v>
      </c>
      <c r="D461" s="1" t="s">
        <v>177</v>
      </c>
      <c r="E461" s="6" t="str">
        <f>"008"</f>
        <v>008</v>
      </c>
      <c r="F461" s="6">
        <v>2015</v>
      </c>
      <c r="G461" s="7">
        <v>10767600</v>
      </c>
      <c r="H461" s="7">
        <v>873200</v>
      </c>
      <c r="I461" s="7">
        <v>9894400</v>
      </c>
    </row>
    <row r="462" spans="1:9" x14ac:dyDescent="0.2">
      <c r="A462" s="1" t="s">
        <v>177</v>
      </c>
      <c r="B462" s="6" t="str">
        <f t="shared" si="20"/>
        <v>28241</v>
      </c>
      <c r="C462" s="1" t="s">
        <v>8</v>
      </c>
      <c r="D462" s="1" t="s">
        <v>177</v>
      </c>
      <c r="E462" s="6" t="str">
        <f>"009"</f>
        <v>009</v>
      </c>
      <c r="F462" s="6">
        <v>2019</v>
      </c>
      <c r="G462" s="7">
        <v>9816400</v>
      </c>
      <c r="H462" s="7">
        <v>15100</v>
      </c>
      <c r="I462" s="7">
        <v>9801300</v>
      </c>
    </row>
    <row r="463" spans="1:9" x14ac:dyDescent="0.2">
      <c r="A463" s="1" t="s">
        <v>177</v>
      </c>
      <c r="B463" s="6" t="str">
        <f t="shared" si="20"/>
        <v>28241</v>
      </c>
      <c r="C463" s="1" t="s">
        <v>8</v>
      </c>
      <c r="D463" s="1" t="s">
        <v>177</v>
      </c>
      <c r="E463" s="6" t="str">
        <f>"010"</f>
        <v>010</v>
      </c>
      <c r="F463" s="6">
        <v>2022</v>
      </c>
      <c r="G463" s="7">
        <v>8186700</v>
      </c>
      <c r="H463" s="7">
        <v>5963000</v>
      </c>
      <c r="I463" s="7">
        <v>2223700</v>
      </c>
    </row>
    <row r="464" spans="1:9" x14ac:dyDescent="0.2">
      <c r="A464" s="1" t="s">
        <v>177</v>
      </c>
      <c r="B464" s="6" t="str">
        <f t="shared" si="20"/>
        <v>28241</v>
      </c>
      <c r="C464" s="1" t="s">
        <v>8</v>
      </c>
      <c r="D464" s="1" t="s">
        <v>177</v>
      </c>
      <c r="E464" s="6" t="str">
        <f>"011"</f>
        <v>011</v>
      </c>
      <c r="F464" s="6">
        <v>2024</v>
      </c>
      <c r="G464" s="7">
        <v>8008800</v>
      </c>
      <c r="H464" s="7">
        <v>0</v>
      </c>
      <c r="I464" s="7">
        <v>8008800</v>
      </c>
    </row>
    <row r="465" spans="1:9" x14ac:dyDescent="0.2">
      <c r="A465" s="1" t="s">
        <v>177</v>
      </c>
      <c r="B465" s="6" t="str">
        <f t="shared" ref="B465:B471" si="21">"28246"</f>
        <v>28246</v>
      </c>
      <c r="C465" s="1" t="s">
        <v>8</v>
      </c>
      <c r="D465" s="1" t="s">
        <v>182</v>
      </c>
      <c r="E465" s="6" t="str">
        <f>"003"</f>
        <v>003</v>
      </c>
      <c r="F465" s="6">
        <v>2006</v>
      </c>
      <c r="G465" s="7">
        <v>15707400</v>
      </c>
      <c r="H465" s="7">
        <v>6036800</v>
      </c>
      <c r="I465" s="7">
        <v>9670600</v>
      </c>
    </row>
    <row r="466" spans="1:9" x14ac:dyDescent="0.2">
      <c r="A466" s="1" t="s">
        <v>177</v>
      </c>
      <c r="B466" s="6" t="str">
        <f t="shared" si="21"/>
        <v>28246</v>
      </c>
      <c r="C466" s="1" t="s">
        <v>8</v>
      </c>
      <c r="D466" s="1" t="s">
        <v>182</v>
      </c>
      <c r="E466" s="6" t="str">
        <f>"004"</f>
        <v>004</v>
      </c>
      <c r="F466" s="6">
        <v>2006</v>
      </c>
      <c r="G466" s="7">
        <v>31420200</v>
      </c>
      <c r="H466" s="7">
        <v>7894500</v>
      </c>
      <c r="I466" s="7">
        <v>23525700</v>
      </c>
    </row>
    <row r="467" spans="1:9" x14ac:dyDescent="0.2">
      <c r="A467" s="1" t="s">
        <v>177</v>
      </c>
      <c r="B467" s="6" t="str">
        <f t="shared" si="21"/>
        <v>28246</v>
      </c>
      <c r="C467" s="1" t="s">
        <v>8</v>
      </c>
      <c r="D467" s="1" t="s">
        <v>182</v>
      </c>
      <c r="E467" s="6" t="str">
        <f>"005"</f>
        <v>005</v>
      </c>
      <c r="F467" s="6">
        <v>2014</v>
      </c>
      <c r="G467" s="7">
        <v>45808100</v>
      </c>
      <c r="H467" s="7">
        <v>4127600</v>
      </c>
      <c r="I467" s="7">
        <v>41680500</v>
      </c>
    </row>
    <row r="468" spans="1:9" x14ac:dyDescent="0.2">
      <c r="A468" s="1" t="s">
        <v>177</v>
      </c>
      <c r="B468" s="6" t="str">
        <f t="shared" si="21"/>
        <v>28246</v>
      </c>
      <c r="C468" s="1" t="s">
        <v>8</v>
      </c>
      <c r="D468" s="1" t="s">
        <v>182</v>
      </c>
      <c r="E468" s="6" t="str">
        <f>"006"</f>
        <v>006</v>
      </c>
      <c r="F468" s="6">
        <v>2014</v>
      </c>
      <c r="G468" s="7">
        <v>7178700</v>
      </c>
      <c r="H468" s="7">
        <v>2947800</v>
      </c>
      <c r="I468" s="7">
        <v>4230900</v>
      </c>
    </row>
    <row r="469" spans="1:9" x14ac:dyDescent="0.2">
      <c r="A469" s="1" t="s">
        <v>177</v>
      </c>
      <c r="B469" s="6" t="str">
        <f t="shared" si="21"/>
        <v>28246</v>
      </c>
      <c r="C469" s="1" t="s">
        <v>8</v>
      </c>
      <c r="D469" s="1" t="s">
        <v>182</v>
      </c>
      <c r="E469" s="6" t="str">
        <f>"007"</f>
        <v>007</v>
      </c>
      <c r="F469" s="6">
        <v>2019</v>
      </c>
      <c r="G469" s="7">
        <v>12940300</v>
      </c>
      <c r="H469" s="7">
        <v>9010000</v>
      </c>
      <c r="I469" s="7">
        <v>3930300</v>
      </c>
    </row>
    <row r="470" spans="1:9" x14ac:dyDescent="0.2">
      <c r="A470" s="1" t="s">
        <v>177</v>
      </c>
      <c r="B470" s="6" t="str">
        <f t="shared" si="21"/>
        <v>28246</v>
      </c>
      <c r="C470" s="1" t="s">
        <v>8</v>
      </c>
      <c r="D470" s="1" t="s">
        <v>182</v>
      </c>
      <c r="E470" s="6" t="str">
        <f>"008"</f>
        <v>008</v>
      </c>
      <c r="F470" s="6">
        <v>2021</v>
      </c>
      <c r="G470" s="7">
        <v>34911700</v>
      </c>
      <c r="H470" s="7">
        <v>22251400</v>
      </c>
      <c r="I470" s="7">
        <v>12660300</v>
      </c>
    </row>
    <row r="471" spans="1:9" x14ac:dyDescent="0.2">
      <c r="A471" s="1" t="s">
        <v>177</v>
      </c>
      <c r="B471" s="6" t="str">
        <f t="shared" si="21"/>
        <v>28246</v>
      </c>
      <c r="C471" s="1" t="s">
        <v>8</v>
      </c>
      <c r="D471" s="1" t="s">
        <v>182</v>
      </c>
      <c r="E471" s="6" t="str">
        <f>"009"</f>
        <v>009</v>
      </c>
      <c r="F471" s="6">
        <v>2024</v>
      </c>
      <c r="G471" s="7">
        <v>13041500</v>
      </c>
      <c r="H471" s="7">
        <v>12015800</v>
      </c>
      <c r="I471" s="7">
        <v>1025700</v>
      </c>
    </row>
    <row r="472" spans="1:9" x14ac:dyDescent="0.2">
      <c r="A472" s="1" t="s">
        <v>177</v>
      </c>
      <c r="B472" s="6" t="str">
        <f>"28290"</f>
        <v>28290</v>
      </c>
      <c r="C472" s="1" t="s">
        <v>8</v>
      </c>
      <c r="D472" s="1" t="s">
        <v>183</v>
      </c>
      <c r="E472" s="6" t="str">
        <f>"002"</f>
        <v>002</v>
      </c>
      <c r="F472" s="6">
        <v>2011</v>
      </c>
      <c r="G472" s="7">
        <v>10826700</v>
      </c>
      <c r="H472" s="7">
        <v>6927600</v>
      </c>
      <c r="I472" s="7">
        <v>3899100</v>
      </c>
    </row>
    <row r="473" spans="1:9" x14ac:dyDescent="0.2">
      <c r="A473" s="1" t="s">
        <v>177</v>
      </c>
      <c r="B473" s="6" t="str">
        <f>"28290"</f>
        <v>28290</v>
      </c>
      <c r="C473" s="1" t="s">
        <v>8</v>
      </c>
      <c r="D473" s="1" t="s">
        <v>183</v>
      </c>
      <c r="E473" s="6" t="str">
        <f>"003"</f>
        <v>003</v>
      </c>
      <c r="F473" s="6">
        <v>2012</v>
      </c>
      <c r="G473" s="7">
        <v>6484400</v>
      </c>
      <c r="H473" s="7">
        <v>1574100</v>
      </c>
      <c r="I473" s="7">
        <v>4910300</v>
      </c>
    </row>
    <row r="474" spans="1:9" x14ac:dyDescent="0.2">
      <c r="A474" s="1" t="s">
        <v>177</v>
      </c>
      <c r="B474" s="6" t="str">
        <f>"28290"</f>
        <v>28290</v>
      </c>
      <c r="C474" s="1" t="s">
        <v>8</v>
      </c>
      <c r="D474" s="1" t="s">
        <v>183</v>
      </c>
      <c r="E474" s="6" t="str">
        <f>"004"</f>
        <v>004</v>
      </c>
      <c r="F474" s="6">
        <v>2014</v>
      </c>
      <c r="G474" s="7">
        <v>3691000</v>
      </c>
      <c r="H474" s="7">
        <v>2019900</v>
      </c>
      <c r="I474" s="7">
        <v>1671100</v>
      </c>
    </row>
    <row r="475" spans="1:9" x14ac:dyDescent="0.2">
      <c r="A475" s="1" t="s">
        <v>177</v>
      </c>
      <c r="B475" s="6" t="str">
        <f>"28290"</f>
        <v>28290</v>
      </c>
      <c r="C475" s="1" t="s">
        <v>8</v>
      </c>
      <c r="D475" s="1" t="s">
        <v>183</v>
      </c>
      <c r="E475" s="6" t="str">
        <f>"005"</f>
        <v>005</v>
      </c>
      <c r="F475" s="6">
        <v>2023</v>
      </c>
      <c r="G475" s="7">
        <v>7632100</v>
      </c>
      <c r="H475" s="7">
        <v>7170500</v>
      </c>
      <c r="I475" s="7">
        <v>461600</v>
      </c>
    </row>
    <row r="476" spans="1:9" x14ac:dyDescent="0.2">
      <c r="A476" s="1" t="s">
        <v>177</v>
      </c>
      <c r="B476" s="6" t="str">
        <f>"28291"</f>
        <v>28291</v>
      </c>
      <c r="C476" s="1" t="s">
        <v>8</v>
      </c>
      <c r="D476" s="1" t="s">
        <v>184</v>
      </c>
      <c r="E476" s="6" t="str">
        <f>"005"</f>
        <v>005</v>
      </c>
      <c r="F476" s="6">
        <v>2005</v>
      </c>
      <c r="G476" s="7">
        <v>70254700</v>
      </c>
      <c r="H476" s="7">
        <v>37580000</v>
      </c>
      <c r="I476" s="7">
        <v>32674700</v>
      </c>
    </row>
    <row r="477" spans="1:9" x14ac:dyDescent="0.2">
      <c r="A477" s="1" t="s">
        <v>177</v>
      </c>
      <c r="B477" s="6" t="str">
        <f>"28291"</f>
        <v>28291</v>
      </c>
      <c r="C477" s="1" t="s">
        <v>8</v>
      </c>
      <c r="D477" s="1" t="s">
        <v>184</v>
      </c>
      <c r="E477" s="6" t="str">
        <f>"006"</f>
        <v>006</v>
      </c>
      <c r="F477" s="6">
        <v>2005</v>
      </c>
      <c r="G477" s="7">
        <v>3538800</v>
      </c>
      <c r="H477" s="7">
        <v>225800</v>
      </c>
      <c r="I477" s="7">
        <v>3313000</v>
      </c>
    </row>
    <row r="478" spans="1:9" x14ac:dyDescent="0.2">
      <c r="A478" s="1" t="s">
        <v>177</v>
      </c>
      <c r="B478" s="6" t="str">
        <f>"28291"</f>
        <v>28291</v>
      </c>
      <c r="C478" s="1" t="s">
        <v>8</v>
      </c>
      <c r="D478" s="1" t="s">
        <v>184</v>
      </c>
      <c r="E478" s="6" t="str">
        <f>"007"</f>
        <v>007</v>
      </c>
      <c r="F478" s="6">
        <v>2016</v>
      </c>
      <c r="G478" s="7">
        <v>79381800</v>
      </c>
      <c r="H478" s="7">
        <v>37025100</v>
      </c>
      <c r="I478" s="7">
        <v>42356700</v>
      </c>
    </row>
    <row r="479" spans="1:9" x14ac:dyDescent="0.2">
      <c r="A479" s="1" t="s">
        <v>177</v>
      </c>
      <c r="B479" s="6" t="str">
        <f>"28291"</f>
        <v>28291</v>
      </c>
      <c r="C479" s="1" t="s">
        <v>8</v>
      </c>
      <c r="D479" s="1" t="s">
        <v>184</v>
      </c>
      <c r="E479" s="6" t="str">
        <f>"008"</f>
        <v>008</v>
      </c>
      <c r="F479" s="6">
        <v>2021</v>
      </c>
      <c r="G479" s="7">
        <v>24956400</v>
      </c>
      <c r="H479" s="7">
        <v>15938900</v>
      </c>
      <c r="I479" s="7">
        <v>9017500</v>
      </c>
    </row>
    <row r="480" spans="1:9" x14ac:dyDescent="0.2">
      <c r="A480" s="1" t="s">
        <v>177</v>
      </c>
      <c r="B480" s="6" t="str">
        <f>"28292"</f>
        <v>28292</v>
      </c>
      <c r="C480" s="1" t="s">
        <v>8</v>
      </c>
      <c r="D480" s="1" t="s">
        <v>185</v>
      </c>
      <c r="E480" s="6" t="str">
        <f>"010"</f>
        <v>010</v>
      </c>
      <c r="F480" s="6">
        <v>2021</v>
      </c>
      <c r="G480" s="7">
        <v>5851400</v>
      </c>
      <c r="H480" s="7">
        <v>4777200</v>
      </c>
      <c r="I480" s="7">
        <v>1074200</v>
      </c>
    </row>
    <row r="481" spans="1:9" x14ac:dyDescent="0.2">
      <c r="A481" s="1" t="s">
        <v>177</v>
      </c>
      <c r="B481" s="6" t="str">
        <f>"28292"</f>
        <v>28292</v>
      </c>
      <c r="C481" s="1" t="s">
        <v>8</v>
      </c>
      <c r="D481" s="1" t="s">
        <v>185</v>
      </c>
      <c r="E481" s="6" t="str">
        <f>"014"</f>
        <v>014</v>
      </c>
      <c r="F481" s="6">
        <v>2021</v>
      </c>
      <c r="G481" s="7">
        <v>34961000</v>
      </c>
      <c r="H481" s="7">
        <v>22914100</v>
      </c>
      <c r="I481" s="7">
        <v>12046900</v>
      </c>
    </row>
    <row r="482" spans="1:9" x14ac:dyDescent="0.2">
      <c r="A482" s="1" t="s">
        <v>117</v>
      </c>
      <c r="B482" s="6" t="str">
        <f>"29161"</f>
        <v>29161</v>
      </c>
      <c r="C482" s="1" t="s">
        <v>12</v>
      </c>
      <c r="D482" s="1" t="s">
        <v>186</v>
      </c>
      <c r="E482" s="6" t="str">
        <f>"002"</f>
        <v>002</v>
      </c>
      <c r="F482" s="6">
        <v>1995</v>
      </c>
      <c r="G482" s="7">
        <v>10946600</v>
      </c>
      <c r="H482" s="7">
        <v>1233500</v>
      </c>
      <c r="I482" s="7">
        <v>9713100</v>
      </c>
    </row>
    <row r="483" spans="1:9" x14ac:dyDescent="0.2">
      <c r="A483" s="1" t="s">
        <v>117</v>
      </c>
      <c r="B483" s="6" t="str">
        <f>"29161"</f>
        <v>29161</v>
      </c>
      <c r="C483" s="1" t="s">
        <v>12</v>
      </c>
      <c r="D483" s="1" t="s">
        <v>186</v>
      </c>
      <c r="E483" s="6" t="str">
        <f>"003"</f>
        <v>003</v>
      </c>
      <c r="F483" s="6">
        <v>1995</v>
      </c>
      <c r="G483" s="7">
        <v>20327200</v>
      </c>
      <c r="H483" s="7">
        <v>7296300</v>
      </c>
      <c r="I483" s="7">
        <v>13030900</v>
      </c>
    </row>
    <row r="484" spans="1:9" x14ac:dyDescent="0.2">
      <c r="A484" s="1" t="s">
        <v>117</v>
      </c>
      <c r="B484" s="6" t="str">
        <f>"29221"</f>
        <v>29221</v>
      </c>
      <c r="C484" s="1" t="s">
        <v>8</v>
      </c>
      <c r="D484" s="1" t="s">
        <v>187</v>
      </c>
      <c r="E484" s="6" t="str">
        <f>"002"</f>
        <v>002</v>
      </c>
      <c r="F484" s="6">
        <v>1999</v>
      </c>
      <c r="G484" s="7">
        <v>1135800</v>
      </c>
      <c r="H484" s="7">
        <v>266200</v>
      </c>
      <c r="I484" s="7">
        <v>869600</v>
      </c>
    </row>
    <row r="485" spans="1:9" x14ac:dyDescent="0.2">
      <c r="A485" s="1" t="s">
        <v>117</v>
      </c>
      <c r="B485" s="6" t="str">
        <f>"29221"</f>
        <v>29221</v>
      </c>
      <c r="C485" s="1" t="s">
        <v>8</v>
      </c>
      <c r="D485" s="1" t="s">
        <v>187</v>
      </c>
      <c r="E485" s="6" t="str">
        <f>"003"</f>
        <v>003</v>
      </c>
      <c r="F485" s="6">
        <v>1999</v>
      </c>
      <c r="G485" s="7">
        <v>13613300</v>
      </c>
      <c r="H485" s="7">
        <v>2293800</v>
      </c>
      <c r="I485" s="7">
        <v>11319500</v>
      </c>
    </row>
    <row r="486" spans="1:9" x14ac:dyDescent="0.2">
      <c r="A486" s="1" t="s">
        <v>117</v>
      </c>
      <c r="B486" s="6" t="str">
        <f>"29221"</f>
        <v>29221</v>
      </c>
      <c r="C486" s="1" t="s">
        <v>8</v>
      </c>
      <c r="D486" s="1" t="s">
        <v>187</v>
      </c>
      <c r="E486" s="6" t="str">
        <f>"004"</f>
        <v>004</v>
      </c>
      <c r="F486" s="6">
        <v>1999</v>
      </c>
      <c r="G486" s="7">
        <v>5612000</v>
      </c>
      <c r="H486" s="7">
        <v>1239300</v>
      </c>
      <c r="I486" s="7">
        <v>4372700</v>
      </c>
    </row>
    <row r="487" spans="1:9" x14ac:dyDescent="0.2">
      <c r="A487" s="1" t="s">
        <v>117</v>
      </c>
      <c r="B487" s="6" t="str">
        <f>"29221"</f>
        <v>29221</v>
      </c>
      <c r="C487" s="1" t="s">
        <v>8</v>
      </c>
      <c r="D487" s="1" t="s">
        <v>187</v>
      </c>
      <c r="E487" s="6" t="str">
        <f>"005"</f>
        <v>005</v>
      </c>
      <c r="F487" s="6">
        <v>1999</v>
      </c>
      <c r="G487" s="7">
        <v>4191600</v>
      </c>
      <c r="H487" s="7">
        <v>36500</v>
      </c>
      <c r="I487" s="7">
        <v>4155100</v>
      </c>
    </row>
    <row r="488" spans="1:9" x14ac:dyDescent="0.2">
      <c r="A488" s="1" t="s">
        <v>117</v>
      </c>
      <c r="B488" s="6" t="str">
        <f>"29221"</f>
        <v>29221</v>
      </c>
      <c r="C488" s="1" t="s">
        <v>8</v>
      </c>
      <c r="D488" s="1" t="s">
        <v>187</v>
      </c>
      <c r="E488" s="6" t="str">
        <f>"006"</f>
        <v>006</v>
      </c>
      <c r="F488" s="6">
        <v>2014</v>
      </c>
      <c r="G488" s="7">
        <v>2932700</v>
      </c>
      <c r="H488" s="7">
        <v>769400</v>
      </c>
      <c r="I488" s="7">
        <v>2163300</v>
      </c>
    </row>
    <row r="489" spans="1:9" x14ac:dyDescent="0.2">
      <c r="A489" s="1" t="s">
        <v>117</v>
      </c>
      <c r="B489" s="6" t="str">
        <f>"29251"</f>
        <v>29251</v>
      </c>
      <c r="C489" s="1" t="s">
        <v>8</v>
      </c>
      <c r="D489" s="1" t="s">
        <v>188</v>
      </c>
      <c r="E489" s="6" t="str">
        <f>"004"</f>
        <v>004</v>
      </c>
      <c r="F489" s="6">
        <v>2022</v>
      </c>
      <c r="G489" s="7">
        <v>42038400</v>
      </c>
      <c r="H489" s="7">
        <v>23661100</v>
      </c>
      <c r="I489" s="7">
        <v>18377300</v>
      </c>
    </row>
    <row r="490" spans="1:9" x14ac:dyDescent="0.2">
      <c r="A490" s="1" t="s">
        <v>117</v>
      </c>
      <c r="B490" s="6" t="str">
        <f>"29251"</f>
        <v>29251</v>
      </c>
      <c r="C490" s="1" t="s">
        <v>8</v>
      </c>
      <c r="D490" s="1" t="s">
        <v>188</v>
      </c>
      <c r="E490" s="6" t="str">
        <f>"005"</f>
        <v>005</v>
      </c>
      <c r="F490" s="6">
        <v>2022</v>
      </c>
      <c r="G490" s="7">
        <v>27253100</v>
      </c>
      <c r="H490" s="7">
        <v>16827200</v>
      </c>
      <c r="I490" s="7">
        <v>10425900</v>
      </c>
    </row>
    <row r="491" spans="1:9" x14ac:dyDescent="0.2">
      <c r="A491" s="1" t="s">
        <v>117</v>
      </c>
      <c r="B491" s="6" t="str">
        <f>"29261"</f>
        <v>29261</v>
      </c>
      <c r="C491" s="1" t="s">
        <v>8</v>
      </c>
      <c r="D491" s="1" t="s">
        <v>189</v>
      </c>
      <c r="E491" s="6" t="str">
        <f>"009"</f>
        <v>009</v>
      </c>
      <c r="F491" s="6">
        <v>1991</v>
      </c>
      <c r="G491" s="7">
        <v>591700</v>
      </c>
      <c r="H491" s="7">
        <v>8300</v>
      </c>
      <c r="I491" s="7">
        <v>583400</v>
      </c>
    </row>
    <row r="492" spans="1:9" x14ac:dyDescent="0.2">
      <c r="A492" s="1" t="s">
        <v>117</v>
      </c>
      <c r="B492" s="6" t="str">
        <f>"29261"</f>
        <v>29261</v>
      </c>
      <c r="C492" s="1" t="s">
        <v>8</v>
      </c>
      <c r="D492" s="1" t="s">
        <v>189</v>
      </c>
      <c r="E492" s="6" t="str">
        <f>"010"</f>
        <v>010</v>
      </c>
      <c r="F492" s="6">
        <v>1991</v>
      </c>
      <c r="G492" s="7">
        <v>385400</v>
      </c>
      <c r="H492" s="7">
        <v>9900</v>
      </c>
      <c r="I492" s="7">
        <v>375500</v>
      </c>
    </row>
    <row r="493" spans="1:9" x14ac:dyDescent="0.2">
      <c r="A493" s="1" t="s">
        <v>117</v>
      </c>
      <c r="B493" s="6" t="str">
        <f>"29261"</f>
        <v>29261</v>
      </c>
      <c r="C493" s="1" t="s">
        <v>8</v>
      </c>
      <c r="D493" s="1" t="s">
        <v>189</v>
      </c>
      <c r="E493" s="6" t="str">
        <f>"012"</f>
        <v>012</v>
      </c>
      <c r="F493" s="6">
        <v>2010</v>
      </c>
      <c r="G493" s="7">
        <v>5796900</v>
      </c>
      <c r="H493" s="7">
        <v>1140800</v>
      </c>
      <c r="I493" s="7">
        <v>4656100</v>
      </c>
    </row>
    <row r="494" spans="1:9" x14ac:dyDescent="0.2">
      <c r="A494" s="1" t="s">
        <v>117</v>
      </c>
      <c r="B494" s="6" t="str">
        <f>"29261"</f>
        <v>29261</v>
      </c>
      <c r="C494" s="1" t="s">
        <v>8</v>
      </c>
      <c r="D494" s="1" t="s">
        <v>189</v>
      </c>
      <c r="E494" s="6" t="str">
        <f>"013"</f>
        <v>013</v>
      </c>
      <c r="F494" s="6">
        <v>2010</v>
      </c>
      <c r="G494" s="7">
        <v>268900</v>
      </c>
      <c r="H494" s="7">
        <v>157200</v>
      </c>
      <c r="I494" s="7">
        <v>111700</v>
      </c>
    </row>
    <row r="495" spans="1:9" x14ac:dyDescent="0.2">
      <c r="A495" s="1" t="s">
        <v>117</v>
      </c>
      <c r="B495" s="6" t="str">
        <f>"29291"</f>
        <v>29291</v>
      </c>
      <c r="C495" s="1" t="s">
        <v>8</v>
      </c>
      <c r="D495" s="1" t="s">
        <v>9</v>
      </c>
      <c r="E495" s="6" t="str">
        <f>"004"</f>
        <v>004</v>
      </c>
      <c r="F495" s="6">
        <v>2006</v>
      </c>
      <c r="G495" s="7">
        <v>551500</v>
      </c>
      <c r="H495" s="7">
        <v>549700</v>
      </c>
      <c r="I495" s="7">
        <v>1800</v>
      </c>
    </row>
    <row r="496" spans="1:9" x14ac:dyDescent="0.2">
      <c r="A496" s="1" t="s">
        <v>190</v>
      </c>
      <c r="B496" s="6" t="str">
        <f>"30104"</f>
        <v>30104</v>
      </c>
      <c r="C496" s="1" t="s">
        <v>12</v>
      </c>
      <c r="D496" s="1" t="s">
        <v>191</v>
      </c>
      <c r="E496" s="6" t="str">
        <f>"001"</f>
        <v>001</v>
      </c>
      <c r="F496" s="6">
        <v>2019</v>
      </c>
      <c r="G496" s="7">
        <v>280015900</v>
      </c>
      <c r="H496" s="7">
        <v>5134800</v>
      </c>
      <c r="I496" s="7">
        <v>274881100</v>
      </c>
    </row>
    <row r="497" spans="1:9" x14ac:dyDescent="0.2">
      <c r="A497" s="1" t="s">
        <v>190</v>
      </c>
      <c r="B497" s="6" t="str">
        <f>"30104"</f>
        <v>30104</v>
      </c>
      <c r="C497" s="1" t="s">
        <v>12</v>
      </c>
      <c r="D497" s="1" t="s">
        <v>191</v>
      </c>
      <c r="E497" s="6" t="str">
        <f>"002"</f>
        <v>002</v>
      </c>
      <c r="F497" s="6">
        <v>2019</v>
      </c>
      <c r="G497" s="7">
        <v>204844400</v>
      </c>
      <c r="H497" s="7">
        <v>416400</v>
      </c>
      <c r="I497" s="7">
        <v>204428000</v>
      </c>
    </row>
    <row r="498" spans="1:9" x14ac:dyDescent="0.2">
      <c r="A498" s="1" t="s">
        <v>190</v>
      </c>
      <c r="B498" s="6" t="str">
        <f>"30104"</f>
        <v>30104</v>
      </c>
      <c r="C498" s="1" t="s">
        <v>12</v>
      </c>
      <c r="D498" s="1" t="s">
        <v>191</v>
      </c>
      <c r="E498" s="6" t="str">
        <f>"003"</f>
        <v>003</v>
      </c>
      <c r="F498" s="6">
        <v>2022</v>
      </c>
      <c r="G498" s="7">
        <v>11451200</v>
      </c>
      <c r="H498" s="7">
        <v>311100</v>
      </c>
      <c r="I498" s="7">
        <v>11140100</v>
      </c>
    </row>
    <row r="499" spans="1:9" x14ac:dyDescent="0.2">
      <c r="A499" s="1" t="s">
        <v>190</v>
      </c>
      <c r="B499" s="6" t="str">
        <f>"30171"</f>
        <v>30171</v>
      </c>
      <c r="C499" s="1" t="s">
        <v>12</v>
      </c>
      <c r="D499" s="1" t="s">
        <v>192</v>
      </c>
      <c r="E499" s="6" t="str">
        <f>"001"</f>
        <v>001</v>
      </c>
      <c r="F499" s="6">
        <v>2012</v>
      </c>
      <c r="G499" s="7">
        <v>17087300</v>
      </c>
      <c r="H499" s="7">
        <v>14133700</v>
      </c>
      <c r="I499" s="7">
        <v>2953600</v>
      </c>
    </row>
    <row r="500" spans="1:9" x14ac:dyDescent="0.2">
      <c r="A500" s="1" t="s">
        <v>190</v>
      </c>
      <c r="B500" s="6" t="str">
        <f>"30171"</f>
        <v>30171</v>
      </c>
      <c r="C500" s="1" t="s">
        <v>12</v>
      </c>
      <c r="D500" s="1" t="s">
        <v>192</v>
      </c>
      <c r="E500" s="6" t="str">
        <f>"002"</f>
        <v>002</v>
      </c>
      <c r="F500" s="6">
        <v>2017</v>
      </c>
      <c r="G500" s="7">
        <v>75339400</v>
      </c>
      <c r="H500" s="7">
        <v>15217800</v>
      </c>
      <c r="I500" s="7">
        <v>60121600</v>
      </c>
    </row>
    <row r="501" spans="1:9" x14ac:dyDescent="0.2">
      <c r="A501" s="1" t="s">
        <v>190</v>
      </c>
      <c r="B501" s="6" t="str">
        <f t="shared" ref="B501:B508" si="22">"30174"</f>
        <v>30174</v>
      </c>
      <c r="C501" s="1" t="s">
        <v>12</v>
      </c>
      <c r="D501" s="1" t="s">
        <v>193</v>
      </c>
      <c r="E501" s="6" t="str">
        <f>"004"</f>
        <v>004</v>
      </c>
      <c r="F501" s="6">
        <v>2007</v>
      </c>
      <c r="G501" s="7">
        <v>3013400</v>
      </c>
      <c r="H501" s="7">
        <v>166100</v>
      </c>
      <c r="I501" s="7">
        <v>2847300</v>
      </c>
    </row>
    <row r="502" spans="1:9" x14ac:dyDescent="0.2">
      <c r="A502" s="1" t="s">
        <v>190</v>
      </c>
      <c r="B502" s="6" t="str">
        <f t="shared" si="22"/>
        <v>30174</v>
      </c>
      <c r="C502" s="1" t="s">
        <v>12</v>
      </c>
      <c r="D502" s="1" t="s">
        <v>193</v>
      </c>
      <c r="E502" s="6" t="str">
        <f>"005"</f>
        <v>005</v>
      </c>
      <c r="F502" s="6">
        <v>2017</v>
      </c>
      <c r="G502" s="7">
        <v>384520500</v>
      </c>
      <c r="H502" s="7">
        <v>25069900</v>
      </c>
      <c r="I502" s="7">
        <v>359450600</v>
      </c>
    </row>
    <row r="503" spans="1:9" x14ac:dyDescent="0.2">
      <c r="A503" s="1" t="s">
        <v>190</v>
      </c>
      <c r="B503" s="6" t="str">
        <f t="shared" si="22"/>
        <v>30174</v>
      </c>
      <c r="C503" s="1" t="s">
        <v>12</v>
      </c>
      <c r="D503" s="1" t="s">
        <v>193</v>
      </c>
      <c r="E503" s="6" t="str">
        <f>"006"</f>
        <v>006</v>
      </c>
      <c r="F503" s="6">
        <v>2018</v>
      </c>
      <c r="G503" s="7">
        <v>23375600</v>
      </c>
      <c r="H503" s="7">
        <v>88900</v>
      </c>
      <c r="I503" s="7">
        <v>23286700</v>
      </c>
    </row>
    <row r="504" spans="1:9" x14ac:dyDescent="0.2">
      <c r="A504" s="1" t="s">
        <v>190</v>
      </c>
      <c r="B504" s="6" t="str">
        <f t="shared" si="22"/>
        <v>30174</v>
      </c>
      <c r="C504" s="1" t="s">
        <v>12</v>
      </c>
      <c r="D504" s="1" t="s">
        <v>193</v>
      </c>
      <c r="E504" s="6" t="str">
        <f>"007"</f>
        <v>007</v>
      </c>
      <c r="F504" s="6">
        <v>2018</v>
      </c>
      <c r="G504" s="7">
        <v>59394400</v>
      </c>
      <c r="H504" s="7">
        <v>241800</v>
      </c>
      <c r="I504" s="7">
        <v>59152600</v>
      </c>
    </row>
    <row r="505" spans="1:9" x14ac:dyDescent="0.2">
      <c r="A505" s="1" t="s">
        <v>190</v>
      </c>
      <c r="B505" s="6" t="str">
        <f t="shared" si="22"/>
        <v>30174</v>
      </c>
      <c r="C505" s="1" t="s">
        <v>12</v>
      </c>
      <c r="D505" s="1" t="s">
        <v>193</v>
      </c>
      <c r="E505" s="6" t="str">
        <f>"008"</f>
        <v>008</v>
      </c>
      <c r="F505" s="6">
        <v>2021</v>
      </c>
      <c r="G505" s="7">
        <v>83043100</v>
      </c>
      <c r="H505" s="7">
        <v>12288700</v>
      </c>
      <c r="I505" s="7">
        <v>70754400</v>
      </c>
    </row>
    <row r="506" spans="1:9" x14ac:dyDescent="0.2">
      <c r="A506" s="1" t="s">
        <v>190</v>
      </c>
      <c r="B506" s="6" t="str">
        <f t="shared" si="22"/>
        <v>30174</v>
      </c>
      <c r="C506" s="1" t="s">
        <v>12</v>
      </c>
      <c r="D506" s="1" t="s">
        <v>193</v>
      </c>
      <c r="E506" s="6" t="str">
        <f>"010"</f>
        <v>010</v>
      </c>
      <c r="F506" s="6">
        <v>2023</v>
      </c>
      <c r="G506" s="7">
        <v>222261800</v>
      </c>
      <c r="H506" s="7">
        <v>100239900</v>
      </c>
      <c r="I506" s="7">
        <v>122021900</v>
      </c>
    </row>
    <row r="507" spans="1:9" x14ac:dyDescent="0.2">
      <c r="A507" s="1" t="s">
        <v>190</v>
      </c>
      <c r="B507" s="6" t="str">
        <f t="shared" si="22"/>
        <v>30174</v>
      </c>
      <c r="C507" s="1" t="s">
        <v>12</v>
      </c>
      <c r="D507" s="1" t="s">
        <v>193</v>
      </c>
      <c r="E507" s="6" t="str">
        <f>"011"</f>
        <v>011</v>
      </c>
      <c r="F507" s="6">
        <v>2024</v>
      </c>
      <c r="G507" s="7">
        <v>542347900</v>
      </c>
      <c r="H507" s="7">
        <v>496358400</v>
      </c>
      <c r="I507" s="7">
        <v>45989500</v>
      </c>
    </row>
    <row r="508" spans="1:9" x14ac:dyDescent="0.2">
      <c r="A508" s="1" t="s">
        <v>190</v>
      </c>
      <c r="B508" s="6" t="str">
        <f t="shared" si="22"/>
        <v>30174</v>
      </c>
      <c r="C508" s="1" t="s">
        <v>12</v>
      </c>
      <c r="D508" s="1" t="s">
        <v>193</v>
      </c>
      <c r="E508" s="6" t="str">
        <f>"012"</f>
        <v>012</v>
      </c>
      <c r="F508" s="6">
        <v>2024</v>
      </c>
      <c r="G508" s="7">
        <v>112192200</v>
      </c>
      <c r="H508" s="7">
        <v>103825000</v>
      </c>
      <c r="I508" s="7">
        <v>8367200</v>
      </c>
    </row>
    <row r="509" spans="1:9" x14ac:dyDescent="0.2">
      <c r="A509" s="1" t="s">
        <v>190</v>
      </c>
      <c r="B509" s="6" t="str">
        <f>"30179"</f>
        <v>30179</v>
      </c>
      <c r="C509" s="1" t="s">
        <v>12</v>
      </c>
      <c r="D509" s="1" t="s">
        <v>194</v>
      </c>
      <c r="E509" s="6" t="str">
        <f>"001"</f>
        <v>001</v>
      </c>
      <c r="F509" s="6">
        <v>2015</v>
      </c>
      <c r="G509" s="7">
        <v>36948700</v>
      </c>
      <c r="H509" s="7">
        <v>29500</v>
      </c>
      <c r="I509" s="7">
        <v>36919200</v>
      </c>
    </row>
    <row r="510" spans="1:9" x14ac:dyDescent="0.2">
      <c r="A510" s="1" t="s">
        <v>190</v>
      </c>
      <c r="B510" s="6" t="str">
        <f t="shared" ref="B510:B519" si="23">"30182"</f>
        <v>30182</v>
      </c>
      <c r="C510" s="1" t="s">
        <v>12</v>
      </c>
      <c r="D510" s="1" t="s">
        <v>195</v>
      </c>
      <c r="E510" s="6" t="str">
        <f>"001"</f>
        <v>001</v>
      </c>
      <c r="F510" s="6">
        <v>2015</v>
      </c>
      <c r="G510" s="7">
        <v>124310300</v>
      </c>
      <c r="H510" s="7">
        <v>476300</v>
      </c>
      <c r="I510" s="7">
        <v>123834000</v>
      </c>
    </row>
    <row r="511" spans="1:9" x14ac:dyDescent="0.2">
      <c r="A511" s="1" t="s">
        <v>190</v>
      </c>
      <c r="B511" s="6" t="str">
        <f t="shared" si="23"/>
        <v>30182</v>
      </c>
      <c r="C511" s="1" t="s">
        <v>12</v>
      </c>
      <c r="D511" s="1" t="s">
        <v>195</v>
      </c>
      <c r="E511" s="6" t="str">
        <f>"002"</f>
        <v>002</v>
      </c>
      <c r="F511" s="6">
        <v>2015</v>
      </c>
      <c r="G511" s="7">
        <v>149306900</v>
      </c>
      <c r="H511" s="7">
        <v>5810800</v>
      </c>
      <c r="I511" s="7">
        <v>143496100</v>
      </c>
    </row>
    <row r="512" spans="1:9" x14ac:dyDescent="0.2">
      <c r="A512" s="1" t="s">
        <v>190</v>
      </c>
      <c r="B512" s="6" t="str">
        <f t="shared" si="23"/>
        <v>30182</v>
      </c>
      <c r="C512" s="1" t="s">
        <v>12</v>
      </c>
      <c r="D512" s="1" t="s">
        <v>195</v>
      </c>
      <c r="E512" s="6" t="str">
        <f>"003"</f>
        <v>003</v>
      </c>
      <c r="F512" s="6">
        <v>2018</v>
      </c>
      <c r="G512" s="7">
        <v>161695800</v>
      </c>
      <c r="H512" s="7">
        <v>1779800</v>
      </c>
      <c r="I512" s="7">
        <v>159916000</v>
      </c>
    </row>
    <row r="513" spans="1:9" x14ac:dyDescent="0.2">
      <c r="A513" s="1" t="s">
        <v>190</v>
      </c>
      <c r="B513" s="6" t="str">
        <f t="shared" si="23"/>
        <v>30182</v>
      </c>
      <c r="C513" s="1" t="s">
        <v>12</v>
      </c>
      <c r="D513" s="1" t="s">
        <v>195</v>
      </c>
      <c r="E513" s="6" t="str">
        <f>"004"</f>
        <v>004</v>
      </c>
      <c r="F513" s="6">
        <v>2018</v>
      </c>
      <c r="G513" s="7">
        <v>61773900</v>
      </c>
      <c r="H513" s="7">
        <v>1767500</v>
      </c>
      <c r="I513" s="7">
        <v>60006400</v>
      </c>
    </row>
    <row r="514" spans="1:9" x14ac:dyDescent="0.2">
      <c r="A514" s="1" t="s">
        <v>190</v>
      </c>
      <c r="B514" s="6" t="str">
        <f t="shared" si="23"/>
        <v>30182</v>
      </c>
      <c r="C514" s="1" t="s">
        <v>12</v>
      </c>
      <c r="D514" s="1" t="s">
        <v>195</v>
      </c>
      <c r="E514" s="6" t="str">
        <f>"005"</f>
        <v>005</v>
      </c>
      <c r="F514" s="6">
        <v>2018</v>
      </c>
      <c r="G514" s="7">
        <v>24870400</v>
      </c>
      <c r="H514" s="7">
        <v>1148400</v>
      </c>
      <c r="I514" s="7">
        <v>23722000</v>
      </c>
    </row>
    <row r="515" spans="1:9" x14ac:dyDescent="0.2">
      <c r="A515" s="1" t="s">
        <v>190</v>
      </c>
      <c r="B515" s="6" t="str">
        <f t="shared" si="23"/>
        <v>30182</v>
      </c>
      <c r="C515" s="1" t="s">
        <v>12</v>
      </c>
      <c r="D515" s="1" t="s">
        <v>195</v>
      </c>
      <c r="E515" s="6" t="str">
        <f>"006"</f>
        <v>006</v>
      </c>
      <c r="F515" s="6">
        <v>2018</v>
      </c>
      <c r="G515" s="7">
        <v>23030100</v>
      </c>
      <c r="H515" s="7">
        <v>2894000</v>
      </c>
      <c r="I515" s="7">
        <v>20136100</v>
      </c>
    </row>
    <row r="516" spans="1:9" x14ac:dyDescent="0.2">
      <c r="A516" s="1" t="s">
        <v>190</v>
      </c>
      <c r="B516" s="6" t="str">
        <f t="shared" si="23"/>
        <v>30182</v>
      </c>
      <c r="C516" s="1" t="s">
        <v>12</v>
      </c>
      <c r="D516" s="1" t="s">
        <v>195</v>
      </c>
      <c r="E516" s="6" t="str">
        <f>"007"</f>
        <v>007</v>
      </c>
      <c r="F516" s="6">
        <v>2018</v>
      </c>
      <c r="G516" s="7">
        <v>15641100</v>
      </c>
      <c r="H516" s="7">
        <v>8364800</v>
      </c>
      <c r="I516" s="7">
        <v>7276300</v>
      </c>
    </row>
    <row r="517" spans="1:9" x14ac:dyDescent="0.2">
      <c r="A517" s="1" t="s">
        <v>190</v>
      </c>
      <c r="B517" s="6" t="str">
        <f t="shared" si="23"/>
        <v>30182</v>
      </c>
      <c r="C517" s="1" t="s">
        <v>12</v>
      </c>
      <c r="D517" s="1" t="s">
        <v>195</v>
      </c>
      <c r="E517" s="6" t="str">
        <f>"008"</f>
        <v>008</v>
      </c>
      <c r="F517" s="6">
        <v>2018</v>
      </c>
      <c r="G517" s="7">
        <v>522600</v>
      </c>
      <c r="H517" s="7">
        <v>362100</v>
      </c>
      <c r="I517" s="7">
        <v>160500</v>
      </c>
    </row>
    <row r="518" spans="1:9" x14ac:dyDescent="0.2">
      <c r="A518" s="1" t="s">
        <v>190</v>
      </c>
      <c r="B518" s="6" t="str">
        <f t="shared" si="23"/>
        <v>30182</v>
      </c>
      <c r="C518" s="1" t="s">
        <v>12</v>
      </c>
      <c r="D518" s="1" t="s">
        <v>195</v>
      </c>
      <c r="E518" s="6" t="str">
        <f>"009"</f>
        <v>009</v>
      </c>
      <c r="F518" s="6">
        <v>2018</v>
      </c>
      <c r="G518" s="7">
        <v>4373500</v>
      </c>
      <c r="H518" s="7">
        <v>2081700</v>
      </c>
      <c r="I518" s="7">
        <v>2291800</v>
      </c>
    </row>
    <row r="519" spans="1:9" x14ac:dyDescent="0.2">
      <c r="A519" s="1" t="s">
        <v>190</v>
      </c>
      <c r="B519" s="6" t="str">
        <f t="shared" si="23"/>
        <v>30182</v>
      </c>
      <c r="C519" s="1" t="s">
        <v>12</v>
      </c>
      <c r="D519" s="1" t="s">
        <v>195</v>
      </c>
      <c r="E519" s="6" t="str">
        <f>"011"</f>
        <v>011</v>
      </c>
      <c r="F519" s="6">
        <v>2018</v>
      </c>
      <c r="G519" s="7">
        <v>374900</v>
      </c>
      <c r="H519" s="7">
        <v>195100</v>
      </c>
      <c r="I519" s="7">
        <v>179800</v>
      </c>
    </row>
    <row r="520" spans="1:9" x14ac:dyDescent="0.2">
      <c r="A520" s="1" t="s">
        <v>190</v>
      </c>
      <c r="B520" s="6" t="str">
        <f>"30186"</f>
        <v>30186</v>
      </c>
      <c r="C520" s="1" t="s">
        <v>12</v>
      </c>
      <c r="D520" s="1" t="s">
        <v>196</v>
      </c>
      <c r="E520" s="6" t="str">
        <f>"001"</f>
        <v>001</v>
      </c>
      <c r="F520" s="6">
        <v>2007</v>
      </c>
      <c r="G520" s="7">
        <v>75243800</v>
      </c>
      <c r="H520" s="7">
        <v>44044400</v>
      </c>
      <c r="I520" s="7">
        <v>31199400</v>
      </c>
    </row>
    <row r="521" spans="1:9" x14ac:dyDescent="0.2">
      <c r="A521" s="1" t="s">
        <v>190</v>
      </c>
      <c r="B521" s="6" t="str">
        <f t="shared" ref="B521:B550" si="24">"30241"</f>
        <v>30241</v>
      </c>
      <c r="C521" s="1" t="s">
        <v>8</v>
      </c>
      <c r="D521" s="1" t="s">
        <v>190</v>
      </c>
      <c r="E521" s="6" t="str">
        <f>"004"</f>
        <v>004</v>
      </c>
      <c r="F521" s="6">
        <v>1989</v>
      </c>
      <c r="G521" s="7">
        <v>195064000</v>
      </c>
      <c r="H521" s="7">
        <v>15566200</v>
      </c>
      <c r="I521" s="7">
        <v>179497800</v>
      </c>
    </row>
    <row r="522" spans="1:9" x14ac:dyDescent="0.2">
      <c r="A522" s="1" t="s">
        <v>190</v>
      </c>
      <c r="B522" s="6" t="str">
        <f t="shared" si="24"/>
        <v>30241</v>
      </c>
      <c r="C522" s="1" t="s">
        <v>8</v>
      </c>
      <c r="D522" s="1" t="s">
        <v>190</v>
      </c>
      <c r="E522" s="6" t="str">
        <f>"005"</f>
        <v>005</v>
      </c>
      <c r="F522" s="6">
        <v>1994</v>
      </c>
      <c r="G522" s="7">
        <v>172955300</v>
      </c>
      <c r="H522" s="7">
        <v>319700</v>
      </c>
      <c r="I522" s="7">
        <v>172635600</v>
      </c>
    </row>
    <row r="523" spans="1:9" x14ac:dyDescent="0.2">
      <c r="A523" s="1" t="s">
        <v>190</v>
      </c>
      <c r="B523" s="6" t="str">
        <f t="shared" si="24"/>
        <v>30241</v>
      </c>
      <c r="C523" s="1" t="s">
        <v>8</v>
      </c>
      <c r="D523" s="1" t="s">
        <v>190</v>
      </c>
      <c r="E523" s="6" t="str">
        <f>"006"</f>
        <v>006</v>
      </c>
      <c r="F523" s="6">
        <v>1997</v>
      </c>
      <c r="G523" s="7">
        <v>24705500</v>
      </c>
      <c r="H523" s="7">
        <v>3558200</v>
      </c>
      <c r="I523" s="7">
        <v>21147300</v>
      </c>
    </row>
    <row r="524" spans="1:9" x14ac:dyDescent="0.2">
      <c r="A524" s="1" t="s">
        <v>190</v>
      </c>
      <c r="B524" s="6" t="str">
        <f t="shared" si="24"/>
        <v>30241</v>
      </c>
      <c r="C524" s="1" t="s">
        <v>8</v>
      </c>
      <c r="D524" s="1" t="s">
        <v>190</v>
      </c>
      <c r="E524" s="6" t="str">
        <f>"007"</f>
        <v>007</v>
      </c>
      <c r="F524" s="6">
        <v>2002</v>
      </c>
      <c r="G524" s="7">
        <v>17864300</v>
      </c>
      <c r="H524" s="7">
        <v>1178600</v>
      </c>
      <c r="I524" s="7">
        <v>16685700</v>
      </c>
    </row>
    <row r="525" spans="1:9" x14ac:dyDescent="0.2">
      <c r="A525" s="1" t="s">
        <v>190</v>
      </c>
      <c r="B525" s="6" t="str">
        <f t="shared" si="24"/>
        <v>30241</v>
      </c>
      <c r="C525" s="1" t="s">
        <v>8</v>
      </c>
      <c r="D525" s="1" t="s">
        <v>190</v>
      </c>
      <c r="E525" s="6" t="str">
        <f>"008"</f>
        <v>008</v>
      </c>
      <c r="F525" s="6">
        <v>2002</v>
      </c>
      <c r="G525" s="7">
        <v>124164500</v>
      </c>
      <c r="H525" s="7">
        <v>245900</v>
      </c>
      <c r="I525" s="7">
        <v>123918600</v>
      </c>
    </row>
    <row r="526" spans="1:9" x14ac:dyDescent="0.2">
      <c r="A526" s="1" t="s">
        <v>190</v>
      </c>
      <c r="B526" s="6" t="str">
        <f t="shared" si="24"/>
        <v>30241</v>
      </c>
      <c r="C526" s="1" t="s">
        <v>8</v>
      </c>
      <c r="D526" s="1" t="s">
        <v>190</v>
      </c>
      <c r="E526" s="6" t="str">
        <f>"009"</f>
        <v>009</v>
      </c>
      <c r="F526" s="6">
        <v>2003</v>
      </c>
      <c r="G526" s="7">
        <v>64640700</v>
      </c>
      <c r="H526" s="7">
        <v>23996200</v>
      </c>
      <c r="I526" s="7">
        <v>40644500</v>
      </c>
    </row>
    <row r="527" spans="1:9" x14ac:dyDescent="0.2">
      <c r="A527" s="1" t="s">
        <v>190</v>
      </c>
      <c r="B527" s="6" t="str">
        <f t="shared" si="24"/>
        <v>30241</v>
      </c>
      <c r="C527" s="1" t="s">
        <v>8</v>
      </c>
      <c r="D527" s="1" t="s">
        <v>190</v>
      </c>
      <c r="E527" s="6" t="str">
        <f>"010"</f>
        <v>010</v>
      </c>
      <c r="F527" s="6">
        <v>2005</v>
      </c>
      <c r="G527" s="7">
        <v>72005400</v>
      </c>
      <c r="H527" s="7">
        <v>11965000</v>
      </c>
      <c r="I527" s="7">
        <v>60040400</v>
      </c>
    </row>
    <row r="528" spans="1:9" x14ac:dyDescent="0.2">
      <c r="A528" s="1" t="s">
        <v>190</v>
      </c>
      <c r="B528" s="6" t="str">
        <f t="shared" si="24"/>
        <v>30241</v>
      </c>
      <c r="C528" s="1" t="s">
        <v>8</v>
      </c>
      <c r="D528" s="1" t="s">
        <v>190</v>
      </c>
      <c r="E528" s="6" t="str">
        <f>"011"</f>
        <v>011</v>
      </c>
      <c r="F528" s="6">
        <v>2006</v>
      </c>
      <c r="G528" s="7">
        <v>157199300</v>
      </c>
      <c r="H528" s="7">
        <v>2873300</v>
      </c>
      <c r="I528" s="7">
        <v>154326000</v>
      </c>
    </row>
    <row r="529" spans="1:9" x14ac:dyDescent="0.2">
      <c r="A529" s="1" t="s">
        <v>190</v>
      </c>
      <c r="B529" s="6" t="str">
        <f t="shared" si="24"/>
        <v>30241</v>
      </c>
      <c r="C529" s="1" t="s">
        <v>8</v>
      </c>
      <c r="D529" s="1" t="s">
        <v>190</v>
      </c>
      <c r="E529" s="6" t="str">
        <f>"013"</f>
        <v>013</v>
      </c>
      <c r="F529" s="6">
        <v>2008</v>
      </c>
      <c r="G529" s="7">
        <v>53681000</v>
      </c>
      <c r="H529" s="7">
        <v>625100</v>
      </c>
      <c r="I529" s="7">
        <v>53055900</v>
      </c>
    </row>
    <row r="530" spans="1:9" x14ac:dyDescent="0.2">
      <c r="A530" s="1" t="s">
        <v>190</v>
      </c>
      <c r="B530" s="6" t="str">
        <f t="shared" si="24"/>
        <v>30241</v>
      </c>
      <c r="C530" s="1" t="s">
        <v>8</v>
      </c>
      <c r="D530" s="1" t="s">
        <v>190</v>
      </c>
      <c r="E530" s="6" t="str">
        <f>"015"</f>
        <v>015</v>
      </c>
      <c r="F530" s="6">
        <v>2013</v>
      </c>
      <c r="G530" s="7">
        <v>2551900</v>
      </c>
      <c r="H530" s="7">
        <v>291500</v>
      </c>
      <c r="I530" s="7">
        <v>2260400</v>
      </c>
    </row>
    <row r="531" spans="1:9" x14ac:dyDescent="0.2">
      <c r="A531" s="1" t="s">
        <v>190</v>
      </c>
      <c r="B531" s="6" t="str">
        <f t="shared" si="24"/>
        <v>30241</v>
      </c>
      <c r="C531" s="1" t="s">
        <v>8</v>
      </c>
      <c r="D531" s="1" t="s">
        <v>190</v>
      </c>
      <c r="E531" s="6" t="str">
        <f>"016"</f>
        <v>016</v>
      </c>
      <c r="F531" s="6">
        <v>2013</v>
      </c>
      <c r="G531" s="7">
        <v>138076900</v>
      </c>
      <c r="H531" s="7">
        <v>1571900</v>
      </c>
      <c r="I531" s="7">
        <v>136505000</v>
      </c>
    </row>
    <row r="532" spans="1:9" x14ac:dyDescent="0.2">
      <c r="A532" s="1" t="s">
        <v>190</v>
      </c>
      <c r="B532" s="6" t="str">
        <f t="shared" si="24"/>
        <v>30241</v>
      </c>
      <c r="C532" s="1" t="s">
        <v>8</v>
      </c>
      <c r="D532" s="1" t="s">
        <v>190</v>
      </c>
      <c r="E532" s="6" t="str">
        <f>"017"</f>
        <v>017</v>
      </c>
      <c r="F532" s="6">
        <v>2014</v>
      </c>
      <c r="G532" s="7">
        <v>14338400</v>
      </c>
      <c r="H532" s="7">
        <v>50900</v>
      </c>
      <c r="I532" s="7">
        <v>14287500</v>
      </c>
    </row>
    <row r="533" spans="1:9" x14ac:dyDescent="0.2">
      <c r="A533" s="1" t="s">
        <v>190</v>
      </c>
      <c r="B533" s="6" t="str">
        <f t="shared" si="24"/>
        <v>30241</v>
      </c>
      <c r="C533" s="1" t="s">
        <v>8</v>
      </c>
      <c r="D533" s="1" t="s">
        <v>190</v>
      </c>
      <c r="E533" s="6" t="str">
        <f>"018"</f>
        <v>018</v>
      </c>
      <c r="F533" s="6">
        <v>2015</v>
      </c>
      <c r="G533" s="7">
        <v>16100600</v>
      </c>
      <c r="H533" s="7">
        <v>182300</v>
      </c>
      <c r="I533" s="7">
        <v>15918300</v>
      </c>
    </row>
    <row r="534" spans="1:9" x14ac:dyDescent="0.2">
      <c r="A534" s="1" t="s">
        <v>190</v>
      </c>
      <c r="B534" s="6" t="str">
        <f t="shared" si="24"/>
        <v>30241</v>
      </c>
      <c r="C534" s="1" t="s">
        <v>8</v>
      </c>
      <c r="D534" s="1" t="s">
        <v>190</v>
      </c>
      <c r="E534" s="6" t="str">
        <f>"019"</f>
        <v>019</v>
      </c>
      <c r="F534" s="6">
        <v>2017</v>
      </c>
      <c r="G534" s="7">
        <v>560300</v>
      </c>
      <c r="H534" s="7">
        <v>398800</v>
      </c>
      <c r="I534" s="7">
        <v>161500</v>
      </c>
    </row>
    <row r="535" spans="1:9" x14ac:dyDescent="0.2">
      <c r="A535" s="1" t="s">
        <v>190</v>
      </c>
      <c r="B535" s="6" t="str">
        <f t="shared" si="24"/>
        <v>30241</v>
      </c>
      <c r="C535" s="1" t="s">
        <v>8</v>
      </c>
      <c r="D535" s="1" t="s">
        <v>190</v>
      </c>
      <c r="E535" s="6" t="str">
        <f>"021"</f>
        <v>021</v>
      </c>
      <c r="F535" s="6">
        <v>2017</v>
      </c>
      <c r="G535" s="7">
        <v>79733500</v>
      </c>
      <c r="H535" s="7">
        <v>19400</v>
      </c>
      <c r="I535" s="7">
        <v>79714100</v>
      </c>
    </row>
    <row r="536" spans="1:9" x14ac:dyDescent="0.2">
      <c r="A536" s="1" t="s">
        <v>190</v>
      </c>
      <c r="B536" s="6" t="str">
        <f t="shared" si="24"/>
        <v>30241</v>
      </c>
      <c r="C536" s="1" t="s">
        <v>8</v>
      </c>
      <c r="D536" s="1" t="s">
        <v>190</v>
      </c>
      <c r="E536" s="6" t="str">
        <f>"023"</f>
        <v>023</v>
      </c>
      <c r="F536" s="6">
        <v>2018</v>
      </c>
      <c r="G536" s="7">
        <v>0</v>
      </c>
      <c r="H536" s="7">
        <v>0</v>
      </c>
      <c r="I536" s="7">
        <v>0</v>
      </c>
    </row>
    <row r="537" spans="1:9" x14ac:dyDescent="0.2">
      <c r="A537" s="1" t="s">
        <v>190</v>
      </c>
      <c r="B537" s="6" t="str">
        <f t="shared" si="24"/>
        <v>30241</v>
      </c>
      <c r="C537" s="1" t="s">
        <v>8</v>
      </c>
      <c r="D537" s="1" t="s">
        <v>190</v>
      </c>
      <c r="E537" s="6" t="str">
        <f>"024"</f>
        <v>024</v>
      </c>
      <c r="F537" s="6">
        <v>2018</v>
      </c>
      <c r="G537" s="7">
        <v>0</v>
      </c>
      <c r="H537" s="7">
        <v>0</v>
      </c>
      <c r="I537" s="7">
        <v>0</v>
      </c>
    </row>
    <row r="538" spans="1:9" x14ac:dyDescent="0.2">
      <c r="A538" s="1" t="s">
        <v>190</v>
      </c>
      <c r="B538" s="6" t="str">
        <f t="shared" si="24"/>
        <v>30241</v>
      </c>
      <c r="C538" s="1" t="s">
        <v>8</v>
      </c>
      <c r="D538" s="1" t="s">
        <v>190</v>
      </c>
      <c r="E538" s="6" t="str">
        <f>"025"</f>
        <v>025</v>
      </c>
      <c r="F538" s="6">
        <v>2018</v>
      </c>
      <c r="G538" s="7">
        <v>1387300</v>
      </c>
      <c r="H538" s="7">
        <v>121800</v>
      </c>
      <c r="I538" s="7">
        <v>1265500</v>
      </c>
    </row>
    <row r="539" spans="1:9" x14ac:dyDescent="0.2">
      <c r="A539" s="1" t="s">
        <v>190</v>
      </c>
      <c r="B539" s="6" t="str">
        <f t="shared" si="24"/>
        <v>30241</v>
      </c>
      <c r="C539" s="1" t="s">
        <v>8</v>
      </c>
      <c r="D539" s="1" t="s">
        <v>190</v>
      </c>
      <c r="E539" s="6" t="str">
        <f>"026"</f>
        <v>026</v>
      </c>
      <c r="F539" s="6">
        <v>2018</v>
      </c>
      <c r="G539" s="7">
        <v>94434400</v>
      </c>
      <c r="H539" s="7">
        <v>4635200</v>
      </c>
      <c r="I539" s="7">
        <v>89799200</v>
      </c>
    </row>
    <row r="540" spans="1:9" x14ac:dyDescent="0.2">
      <c r="A540" s="1" t="s">
        <v>190</v>
      </c>
      <c r="B540" s="6" t="str">
        <f t="shared" si="24"/>
        <v>30241</v>
      </c>
      <c r="C540" s="1" t="s">
        <v>8</v>
      </c>
      <c r="D540" s="1" t="s">
        <v>190</v>
      </c>
      <c r="E540" s="6" t="str">
        <f>"027"</f>
        <v>027</v>
      </c>
      <c r="F540" s="6">
        <v>2019</v>
      </c>
      <c r="G540" s="7">
        <v>4340700</v>
      </c>
      <c r="H540" s="7">
        <v>3154800</v>
      </c>
      <c r="I540" s="7">
        <v>1185900</v>
      </c>
    </row>
    <row r="541" spans="1:9" x14ac:dyDescent="0.2">
      <c r="A541" s="1" t="s">
        <v>190</v>
      </c>
      <c r="B541" s="6" t="str">
        <f t="shared" si="24"/>
        <v>30241</v>
      </c>
      <c r="C541" s="1" t="s">
        <v>8</v>
      </c>
      <c r="D541" s="1" t="s">
        <v>190</v>
      </c>
      <c r="E541" s="6" t="str">
        <f>"029"</f>
        <v>029</v>
      </c>
      <c r="F541" s="6">
        <v>2020</v>
      </c>
      <c r="G541" s="7">
        <v>57577900</v>
      </c>
      <c r="H541" s="7">
        <v>17774400</v>
      </c>
      <c r="I541" s="7">
        <v>39803500</v>
      </c>
    </row>
    <row r="542" spans="1:9" x14ac:dyDescent="0.2">
      <c r="A542" s="1" t="s">
        <v>190</v>
      </c>
      <c r="B542" s="6" t="str">
        <f t="shared" si="24"/>
        <v>30241</v>
      </c>
      <c r="C542" s="1" t="s">
        <v>8</v>
      </c>
      <c r="D542" s="1" t="s">
        <v>190</v>
      </c>
      <c r="E542" s="6" t="str">
        <f>"030"</f>
        <v>030</v>
      </c>
      <c r="F542" s="6">
        <v>2020</v>
      </c>
      <c r="G542" s="7">
        <v>199500</v>
      </c>
      <c r="H542" s="7">
        <v>300500</v>
      </c>
      <c r="I542" s="7">
        <v>-101000</v>
      </c>
    </row>
    <row r="543" spans="1:9" x14ac:dyDescent="0.2">
      <c r="A543" s="1" t="s">
        <v>190</v>
      </c>
      <c r="B543" s="6" t="str">
        <f t="shared" si="24"/>
        <v>30241</v>
      </c>
      <c r="C543" s="1" t="s">
        <v>8</v>
      </c>
      <c r="D543" s="1" t="s">
        <v>190</v>
      </c>
      <c r="E543" s="6" t="str">
        <f>"031"</f>
        <v>031</v>
      </c>
      <c r="F543" s="6">
        <v>2020</v>
      </c>
      <c r="G543" s="7">
        <v>0</v>
      </c>
      <c r="H543" s="7">
        <v>207800</v>
      </c>
      <c r="I543" s="7">
        <v>-207800</v>
      </c>
    </row>
    <row r="544" spans="1:9" x14ac:dyDescent="0.2">
      <c r="A544" s="1" t="s">
        <v>190</v>
      </c>
      <c r="B544" s="6" t="str">
        <f t="shared" si="24"/>
        <v>30241</v>
      </c>
      <c r="C544" s="1" t="s">
        <v>8</v>
      </c>
      <c r="D544" s="1" t="s">
        <v>190</v>
      </c>
      <c r="E544" s="6" t="str">
        <f>"032"</f>
        <v>032</v>
      </c>
      <c r="F544" s="6">
        <v>2021</v>
      </c>
      <c r="G544" s="7">
        <v>27820200</v>
      </c>
      <c r="H544" s="7">
        <v>9457600</v>
      </c>
      <c r="I544" s="7">
        <v>18362600</v>
      </c>
    </row>
    <row r="545" spans="1:9" x14ac:dyDescent="0.2">
      <c r="A545" s="1" t="s">
        <v>190</v>
      </c>
      <c r="B545" s="6" t="str">
        <f t="shared" si="24"/>
        <v>30241</v>
      </c>
      <c r="C545" s="1" t="s">
        <v>8</v>
      </c>
      <c r="D545" s="1" t="s">
        <v>190</v>
      </c>
      <c r="E545" s="6" t="str">
        <f>"033"</f>
        <v>033</v>
      </c>
      <c r="F545" s="6">
        <v>2021</v>
      </c>
      <c r="G545" s="7">
        <v>17586800</v>
      </c>
      <c r="H545" s="7">
        <v>3647700</v>
      </c>
      <c r="I545" s="7">
        <v>13939100</v>
      </c>
    </row>
    <row r="546" spans="1:9" x14ac:dyDescent="0.2">
      <c r="A546" s="1" t="s">
        <v>190</v>
      </c>
      <c r="B546" s="6" t="str">
        <f t="shared" si="24"/>
        <v>30241</v>
      </c>
      <c r="C546" s="1" t="s">
        <v>8</v>
      </c>
      <c r="D546" s="1" t="s">
        <v>190</v>
      </c>
      <c r="E546" s="6" t="str">
        <f>"034"</f>
        <v>034</v>
      </c>
      <c r="F546" s="6">
        <v>2022</v>
      </c>
      <c r="G546" s="7">
        <v>24100</v>
      </c>
      <c r="H546" s="7">
        <v>23100</v>
      </c>
      <c r="I546" s="7">
        <v>1000</v>
      </c>
    </row>
    <row r="547" spans="1:9" x14ac:dyDescent="0.2">
      <c r="A547" s="1" t="s">
        <v>190</v>
      </c>
      <c r="B547" s="6" t="str">
        <f t="shared" si="24"/>
        <v>30241</v>
      </c>
      <c r="C547" s="1" t="s">
        <v>8</v>
      </c>
      <c r="D547" s="1" t="s">
        <v>190</v>
      </c>
      <c r="E547" s="6" t="str">
        <f>"035"</f>
        <v>035</v>
      </c>
      <c r="F547" s="6">
        <v>2024</v>
      </c>
      <c r="G547" s="7">
        <v>0</v>
      </c>
      <c r="H547" s="7">
        <v>0</v>
      </c>
      <c r="I547" s="7">
        <v>0</v>
      </c>
    </row>
    <row r="548" spans="1:9" x14ac:dyDescent="0.2">
      <c r="A548" s="1" t="s">
        <v>190</v>
      </c>
      <c r="B548" s="6" t="str">
        <f t="shared" si="24"/>
        <v>30241</v>
      </c>
      <c r="C548" s="1" t="s">
        <v>8</v>
      </c>
      <c r="D548" s="1" t="s">
        <v>190</v>
      </c>
      <c r="E548" s="6" t="str">
        <f>"036"</f>
        <v>036</v>
      </c>
      <c r="F548" s="6">
        <v>2024</v>
      </c>
      <c r="G548" s="7">
        <v>2264200</v>
      </c>
      <c r="H548" s="7">
        <v>8910500</v>
      </c>
      <c r="I548" s="7">
        <v>-6646300</v>
      </c>
    </row>
    <row r="549" spans="1:9" x14ac:dyDescent="0.2">
      <c r="A549" s="1" t="s">
        <v>190</v>
      </c>
      <c r="B549" s="6" t="str">
        <f t="shared" si="24"/>
        <v>30241</v>
      </c>
      <c r="C549" s="1" t="s">
        <v>8</v>
      </c>
      <c r="D549" s="1" t="s">
        <v>190</v>
      </c>
      <c r="E549" s="6" t="str">
        <f>"037"</f>
        <v>037</v>
      </c>
      <c r="F549" s="6">
        <v>2024</v>
      </c>
      <c r="G549" s="7">
        <v>5019800</v>
      </c>
      <c r="H549" s="7">
        <v>4564600</v>
      </c>
      <c r="I549" s="7">
        <v>455200</v>
      </c>
    </row>
    <row r="550" spans="1:9" x14ac:dyDescent="0.2">
      <c r="A550" s="1" t="s">
        <v>190</v>
      </c>
      <c r="B550" s="6" t="str">
        <f t="shared" si="24"/>
        <v>30241</v>
      </c>
      <c r="C550" s="1" t="s">
        <v>8</v>
      </c>
      <c r="D550" s="1" t="s">
        <v>190</v>
      </c>
      <c r="E550" s="6" t="str">
        <f>"038"</f>
        <v>038</v>
      </c>
      <c r="F550" s="6">
        <v>2024</v>
      </c>
      <c r="G550" s="7">
        <v>6059400</v>
      </c>
      <c r="H550" s="7">
        <v>126600</v>
      </c>
      <c r="I550" s="7">
        <v>5932800</v>
      </c>
    </row>
    <row r="551" spans="1:9" x14ac:dyDescent="0.2">
      <c r="A551" s="1" t="s">
        <v>197</v>
      </c>
      <c r="B551" s="6" t="str">
        <f>"31146"</f>
        <v>31146</v>
      </c>
      <c r="C551" s="1" t="s">
        <v>12</v>
      </c>
      <c r="D551" s="1" t="s">
        <v>198</v>
      </c>
      <c r="E551" s="6" t="str">
        <f>"002"</f>
        <v>002</v>
      </c>
      <c r="F551" s="6">
        <v>2022</v>
      </c>
      <c r="G551" s="7">
        <v>27005000</v>
      </c>
      <c r="H551" s="7">
        <v>11678900</v>
      </c>
      <c r="I551" s="7">
        <v>15326100</v>
      </c>
    </row>
    <row r="552" spans="1:9" x14ac:dyDescent="0.2">
      <c r="A552" s="1" t="s">
        <v>197</v>
      </c>
      <c r="B552" s="6" t="str">
        <f>"31201"</f>
        <v>31201</v>
      </c>
      <c r="C552" s="1" t="s">
        <v>8</v>
      </c>
      <c r="D552" s="1" t="s">
        <v>199</v>
      </c>
      <c r="E552" s="6" t="str">
        <f>"001"</f>
        <v>001</v>
      </c>
      <c r="F552" s="6">
        <v>2005</v>
      </c>
      <c r="G552" s="7">
        <v>12602500</v>
      </c>
      <c r="H552" s="7">
        <v>7032200</v>
      </c>
      <c r="I552" s="7">
        <v>5570300</v>
      </c>
    </row>
    <row r="553" spans="1:9" x14ac:dyDescent="0.2">
      <c r="A553" s="1" t="s">
        <v>197</v>
      </c>
      <c r="B553" s="6" t="str">
        <f>"31201"</f>
        <v>31201</v>
      </c>
      <c r="C553" s="1" t="s">
        <v>8</v>
      </c>
      <c r="D553" s="1" t="s">
        <v>199</v>
      </c>
      <c r="E553" s="6" t="str">
        <f>"002"</f>
        <v>002</v>
      </c>
      <c r="F553" s="6">
        <v>2006</v>
      </c>
      <c r="G553" s="7">
        <v>8599200</v>
      </c>
      <c r="H553" s="7">
        <v>1782700</v>
      </c>
      <c r="I553" s="7">
        <v>6816500</v>
      </c>
    </row>
    <row r="554" spans="1:9" x14ac:dyDescent="0.2">
      <c r="A554" s="1" t="s">
        <v>197</v>
      </c>
      <c r="B554" s="6" t="str">
        <f>"31201"</f>
        <v>31201</v>
      </c>
      <c r="C554" s="1" t="s">
        <v>8</v>
      </c>
      <c r="D554" s="1" t="s">
        <v>199</v>
      </c>
      <c r="E554" s="6" t="str">
        <f>"003"</f>
        <v>003</v>
      </c>
      <c r="F554" s="6">
        <v>2019</v>
      </c>
      <c r="G554" s="7">
        <v>6204500</v>
      </c>
      <c r="H554" s="7">
        <v>517700</v>
      </c>
      <c r="I554" s="7">
        <v>5686800</v>
      </c>
    </row>
    <row r="555" spans="1:9" x14ac:dyDescent="0.2">
      <c r="A555" s="1" t="s">
        <v>197</v>
      </c>
      <c r="B555" s="6" t="str">
        <f>"31201"</f>
        <v>31201</v>
      </c>
      <c r="C555" s="1" t="s">
        <v>8</v>
      </c>
      <c r="D555" s="1" t="s">
        <v>199</v>
      </c>
      <c r="E555" s="6" t="str">
        <f>"004"</f>
        <v>004</v>
      </c>
      <c r="F555" s="6">
        <v>2024</v>
      </c>
      <c r="G555" s="7">
        <v>598500</v>
      </c>
      <c r="H555" s="7">
        <v>417400</v>
      </c>
      <c r="I555" s="7">
        <v>181100</v>
      </c>
    </row>
    <row r="556" spans="1:9" x14ac:dyDescent="0.2">
      <c r="A556" s="1" t="s">
        <v>197</v>
      </c>
      <c r="B556" s="6" t="str">
        <f>"31241"</f>
        <v>31241</v>
      </c>
      <c r="C556" s="1" t="s">
        <v>8</v>
      </c>
      <c r="D556" s="1" t="s">
        <v>197</v>
      </c>
      <c r="E556" s="6" t="str">
        <f>"003"</f>
        <v>003</v>
      </c>
      <c r="F556" s="6">
        <v>2020</v>
      </c>
      <c r="G556" s="7">
        <v>8506000</v>
      </c>
      <c r="H556" s="7">
        <v>9076500</v>
      </c>
      <c r="I556" s="7">
        <v>-570500</v>
      </c>
    </row>
    <row r="557" spans="1:9" x14ac:dyDescent="0.2">
      <c r="A557" s="1" t="s">
        <v>200</v>
      </c>
      <c r="B557" s="6" t="str">
        <f>"32106"</f>
        <v>32106</v>
      </c>
      <c r="C557" s="1" t="s">
        <v>12</v>
      </c>
      <c r="D557" s="1" t="s">
        <v>201</v>
      </c>
      <c r="E557" s="6" t="str">
        <f>"001"</f>
        <v>001</v>
      </c>
      <c r="F557" s="6">
        <v>2008</v>
      </c>
      <c r="G557" s="7">
        <v>6186600</v>
      </c>
      <c r="H557" s="7">
        <v>393000</v>
      </c>
      <c r="I557" s="7">
        <v>5793600</v>
      </c>
    </row>
    <row r="558" spans="1:9" x14ac:dyDescent="0.2">
      <c r="A558" s="1" t="s">
        <v>200</v>
      </c>
      <c r="B558" s="6" t="str">
        <f>"32106"</f>
        <v>32106</v>
      </c>
      <c r="C558" s="1" t="s">
        <v>12</v>
      </c>
      <c r="D558" s="1" t="s">
        <v>201</v>
      </c>
      <c r="E558" s="6" t="str">
        <f>"002"</f>
        <v>002</v>
      </c>
      <c r="F558" s="6">
        <v>2015</v>
      </c>
      <c r="G558" s="7">
        <v>4893500</v>
      </c>
      <c r="H558" s="7">
        <v>618700</v>
      </c>
      <c r="I558" s="7">
        <v>4274800</v>
      </c>
    </row>
    <row r="559" spans="1:9" x14ac:dyDescent="0.2">
      <c r="A559" s="1" t="s">
        <v>200</v>
      </c>
      <c r="B559" s="6" t="str">
        <f>"32136"</f>
        <v>32136</v>
      </c>
      <c r="C559" s="1" t="s">
        <v>12</v>
      </c>
      <c r="D559" s="1" t="s">
        <v>202</v>
      </c>
      <c r="E559" s="6" t="str">
        <f>"002"</f>
        <v>002</v>
      </c>
      <c r="F559" s="6">
        <v>2009</v>
      </c>
      <c r="G559" s="7">
        <v>184607000</v>
      </c>
      <c r="H559" s="7">
        <v>2647000</v>
      </c>
      <c r="I559" s="7">
        <v>181960000</v>
      </c>
    </row>
    <row r="560" spans="1:9" x14ac:dyDescent="0.2">
      <c r="A560" s="1" t="s">
        <v>200</v>
      </c>
      <c r="B560" s="6" t="str">
        <f>"32136"</f>
        <v>32136</v>
      </c>
      <c r="C560" s="1" t="s">
        <v>12</v>
      </c>
      <c r="D560" s="1" t="s">
        <v>202</v>
      </c>
      <c r="E560" s="6" t="str">
        <f>"003"</f>
        <v>003</v>
      </c>
      <c r="F560" s="6">
        <v>2015</v>
      </c>
      <c r="G560" s="7">
        <v>139522500</v>
      </c>
      <c r="H560" s="7">
        <v>37362300</v>
      </c>
      <c r="I560" s="7">
        <v>102160200</v>
      </c>
    </row>
    <row r="561" spans="1:9" x14ac:dyDescent="0.2">
      <c r="A561" s="1" t="s">
        <v>200</v>
      </c>
      <c r="B561" s="6" t="str">
        <f>"32176"</f>
        <v>32176</v>
      </c>
      <c r="C561" s="1" t="s">
        <v>12</v>
      </c>
      <c r="D561" s="1" t="s">
        <v>203</v>
      </c>
      <c r="E561" s="6" t="str">
        <f>"001"</f>
        <v>001</v>
      </c>
      <c r="F561" s="6">
        <v>2010</v>
      </c>
      <c r="G561" s="7">
        <v>7228200</v>
      </c>
      <c r="H561" s="7">
        <v>1176300</v>
      </c>
      <c r="I561" s="7">
        <v>6051900</v>
      </c>
    </row>
    <row r="562" spans="1:9" x14ac:dyDescent="0.2">
      <c r="A562" s="1" t="s">
        <v>200</v>
      </c>
      <c r="B562" s="6" t="str">
        <f>"32191"</f>
        <v>32191</v>
      </c>
      <c r="C562" s="1" t="s">
        <v>12</v>
      </c>
      <c r="D562" s="1" t="s">
        <v>204</v>
      </c>
      <c r="E562" s="6" t="str">
        <f>"002"</f>
        <v>002</v>
      </c>
      <c r="F562" s="6">
        <v>2022</v>
      </c>
      <c r="G562" s="7">
        <v>56282500</v>
      </c>
      <c r="H562" s="7">
        <v>17038200</v>
      </c>
      <c r="I562" s="7">
        <v>39244300</v>
      </c>
    </row>
    <row r="563" spans="1:9" x14ac:dyDescent="0.2">
      <c r="A563" s="1" t="s">
        <v>200</v>
      </c>
      <c r="B563" s="6" t="str">
        <f t="shared" ref="B563:B574" si="25">"32246"</f>
        <v>32246</v>
      </c>
      <c r="C563" s="1" t="s">
        <v>8</v>
      </c>
      <c r="D563" s="1" t="s">
        <v>200</v>
      </c>
      <c r="E563" s="6" t="str">
        <f>"010"</f>
        <v>010</v>
      </c>
      <c r="F563" s="6">
        <v>2003</v>
      </c>
      <c r="G563" s="7">
        <v>17981800</v>
      </c>
      <c r="H563" s="7">
        <v>2062600</v>
      </c>
      <c r="I563" s="7">
        <v>15919200</v>
      </c>
    </row>
    <row r="564" spans="1:9" x14ac:dyDescent="0.2">
      <c r="A564" s="1" t="s">
        <v>200</v>
      </c>
      <c r="B564" s="6" t="str">
        <f t="shared" si="25"/>
        <v>32246</v>
      </c>
      <c r="C564" s="1" t="s">
        <v>8</v>
      </c>
      <c r="D564" s="1" t="s">
        <v>200</v>
      </c>
      <c r="E564" s="6" t="str">
        <f>"011"</f>
        <v>011</v>
      </c>
      <c r="F564" s="6">
        <v>2005</v>
      </c>
      <c r="G564" s="7">
        <v>356224200</v>
      </c>
      <c r="H564" s="7">
        <v>119726700</v>
      </c>
      <c r="I564" s="7">
        <v>236497500</v>
      </c>
    </row>
    <row r="565" spans="1:9" x14ac:dyDescent="0.2">
      <c r="A565" s="1" t="s">
        <v>200</v>
      </c>
      <c r="B565" s="6" t="str">
        <f t="shared" si="25"/>
        <v>32246</v>
      </c>
      <c r="C565" s="1" t="s">
        <v>8</v>
      </c>
      <c r="D565" s="1" t="s">
        <v>200</v>
      </c>
      <c r="E565" s="6" t="str">
        <f>"012"</f>
        <v>012</v>
      </c>
      <c r="F565" s="6">
        <v>2005</v>
      </c>
      <c r="G565" s="7">
        <v>48768000</v>
      </c>
      <c r="H565" s="7">
        <v>16765200</v>
      </c>
      <c r="I565" s="7">
        <v>32002800</v>
      </c>
    </row>
    <row r="566" spans="1:9" x14ac:dyDescent="0.2">
      <c r="A566" s="1" t="s">
        <v>200</v>
      </c>
      <c r="B566" s="6" t="str">
        <f t="shared" si="25"/>
        <v>32246</v>
      </c>
      <c r="C566" s="1" t="s">
        <v>8</v>
      </c>
      <c r="D566" s="1" t="s">
        <v>200</v>
      </c>
      <c r="E566" s="6" t="str">
        <f>"013"</f>
        <v>013</v>
      </c>
      <c r="F566" s="6">
        <v>2006</v>
      </c>
      <c r="G566" s="7">
        <v>204775100</v>
      </c>
      <c r="H566" s="7">
        <v>44039800</v>
      </c>
      <c r="I566" s="7">
        <v>160735300</v>
      </c>
    </row>
    <row r="567" spans="1:9" x14ac:dyDescent="0.2">
      <c r="A567" s="1" t="s">
        <v>200</v>
      </c>
      <c r="B567" s="6" t="str">
        <f t="shared" si="25"/>
        <v>32246</v>
      </c>
      <c r="C567" s="1" t="s">
        <v>8</v>
      </c>
      <c r="D567" s="1" t="s">
        <v>200</v>
      </c>
      <c r="E567" s="6" t="str">
        <f>"014"</f>
        <v>014</v>
      </c>
      <c r="F567" s="6">
        <v>2006</v>
      </c>
      <c r="G567" s="7">
        <v>148327700</v>
      </c>
      <c r="H567" s="7">
        <v>52685300</v>
      </c>
      <c r="I567" s="7">
        <v>95642400</v>
      </c>
    </row>
    <row r="568" spans="1:9" x14ac:dyDescent="0.2">
      <c r="A568" s="1" t="s">
        <v>200</v>
      </c>
      <c r="B568" s="6" t="str">
        <f t="shared" si="25"/>
        <v>32246</v>
      </c>
      <c r="C568" s="1" t="s">
        <v>8</v>
      </c>
      <c r="D568" s="1" t="s">
        <v>200</v>
      </c>
      <c r="E568" s="6" t="str">
        <f>"015"</f>
        <v>015</v>
      </c>
      <c r="F568" s="6">
        <v>2013</v>
      </c>
      <c r="G568" s="7">
        <v>114940600</v>
      </c>
      <c r="H568" s="7">
        <v>45892700</v>
      </c>
      <c r="I568" s="7">
        <v>69047900</v>
      </c>
    </row>
    <row r="569" spans="1:9" x14ac:dyDescent="0.2">
      <c r="A569" s="1" t="s">
        <v>200</v>
      </c>
      <c r="B569" s="6" t="str">
        <f t="shared" si="25"/>
        <v>32246</v>
      </c>
      <c r="C569" s="1" t="s">
        <v>8</v>
      </c>
      <c r="D569" s="1" t="s">
        <v>200</v>
      </c>
      <c r="E569" s="6" t="str">
        <f>"016"</f>
        <v>016</v>
      </c>
      <c r="F569" s="6">
        <v>2014</v>
      </c>
      <c r="G569" s="7">
        <v>61183600</v>
      </c>
      <c r="H569" s="7">
        <v>16717400</v>
      </c>
      <c r="I569" s="7">
        <v>44466200</v>
      </c>
    </row>
    <row r="570" spans="1:9" x14ac:dyDescent="0.2">
      <c r="A570" s="1" t="s">
        <v>200</v>
      </c>
      <c r="B570" s="6" t="str">
        <f t="shared" si="25"/>
        <v>32246</v>
      </c>
      <c r="C570" s="1" t="s">
        <v>8</v>
      </c>
      <c r="D570" s="1" t="s">
        <v>200</v>
      </c>
      <c r="E570" s="6" t="str">
        <f>"017"</f>
        <v>017</v>
      </c>
      <c r="F570" s="6">
        <v>2015</v>
      </c>
      <c r="G570" s="7">
        <v>105146400</v>
      </c>
      <c r="H570" s="7">
        <v>13038100</v>
      </c>
      <c r="I570" s="7">
        <v>92108300</v>
      </c>
    </row>
    <row r="571" spans="1:9" x14ac:dyDescent="0.2">
      <c r="A571" s="1" t="s">
        <v>200</v>
      </c>
      <c r="B571" s="6" t="str">
        <f t="shared" si="25"/>
        <v>32246</v>
      </c>
      <c r="C571" s="1" t="s">
        <v>8</v>
      </c>
      <c r="D571" s="1" t="s">
        <v>200</v>
      </c>
      <c r="E571" s="6" t="str">
        <f>"018"</f>
        <v>018</v>
      </c>
      <c r="F571" s="6">
        <v>2020</v>
      </c>
      <c r="G571" s="7">
        <v>11669200</v>
      </c>
      <c r="H571" s="7">
        <v>6788600</v>
      </c>
      <c r="I571" s="7">
        <v>4880600</v>
      </c>
    </row>
    <row r="572" spans="1:9" x14ac:dyDescent="0.2">
      <c r="A572" s="1" t="s">
        <v>200</v>
      </c>
      <c r="B572" s="6" t="str">
        <f t="shared" si="25"/>
        <v>32246</v>
      </c>
      <c r="C572" s="1" t="s">
        <v>8</v>
      </c>
      <c r="D572" s="1" t="s">
        <v>200</v>
      </c>
      <c r="E572" s="6" t="str">
        <f>"019"</f>
        <v>019</v>
      </c>
      <c r="F572" s="6">
        <v>2020</v>
      </c>
      <c r="G572" s="7">
        <v>3889300</v>
      </c>
      <c r="H572" s="7">
        <v>5061100</v>
      </c>
      <c r="I572" s="7">
        <v>-1171800</v>
      </c>
    </row>
    <row r="573" spans="1:9" x14ac:dyDescent="0.2">
      <c r="A573" s="1" t="s">
        <v>200</v>
      </c>
      <c r="B573" s="6" t="str">
        <f t="shared" si="25"/>
        <v>32246</v>
      </c>
      <c r="C573" s="1" t="s">
        <v>8</v>
      </c>
      <c r="D573" s="1" t="s">
        <v>200</v>
      </c>
      <c r="E573" s="6" t="str">
        <f>"020"</f>
        <v>020</v>
      </c>
      <c r="F573" s="6">
        <v>2020</v>
      </c>
      <c r="G573" s="7">
        <v>13422100</v>
      </c>
      <c r="H573" s="7">
        <v>13422100</v>
      </c>
      <c r="I573" s="7">
        <v>0</v>
      </c>
    </row>
    <row r="574" spans="1:9" x14ac:dyDescent="0.2">
      <c r="A574" s="1" t="s">
        <v>200</v>
      </c>
      <c r="B574" s="6" t="str">
        <f t="shared" si="25"/>
        <v>32246</v>
      </c>
      <c r="C574" s="1" t="s">
        <v>8</v>
      </c>
      <c r="D574" s="1" t="s">
        <v>200</v>
      </c>
      <c r="E574" s="6" t="str">
        <f>"021"</f>
        <v>021</v>
      </c>
      <c r="F574" s="6">
        <v>2023</v>
      </c>
      <c r="G574" s="7">
        <v>0</v>
      </c>
      <c r="H574" s="7">
        <v>0</v>
      </c>
      <c r="I574" s="7">
        <v>0</v>
      </c>
    </row>
    <row r="575" spans="1:9" x14ac:dyDescent="0.2">
      <c r="A575" s="1" t="s">
        <v>200</v>
      </c>
      <c r="B575" s="6" t="str">
        <f>"32265"</f>
        <v>32265</v>
      </c>
      <c r="C575" s="1" t="s">
        <v>8</v>
      </c>
      <c r="D575" s="1" t="s">
        <v>205</v>
      </c>
      <c r="E575" s="6" t="str">
        <f>"005"</f>
        <v>005</v>
      </c>
      <c r="F575" s="6">
        <v>2019</v>
      </c>
      <c r="G575" s="7">
        <v>18340500</v>
      </c>
      <c r="H575" s="7">
        <v>0</v>
      </c>
      <c r="I575" s="7">
        <v>18340500</v>
      </c>
    </row>
    <row r="576" spans="1:9" x14ac:dyDescent="0.2">
      <c r="A576" s="1" t="s">
        <v>200</v>
      </c>
      <c r="B576" s="6" t="str">
        <f>"32265"</f>
        <v>32265</v>
      </c>
      <c r="C576" s="1" t="s">
        <v>8</v>
      </c>
      <c r="D576" s="1" t="s">
        <v>205</v>
      </c>
      <c r="E576" s="6" t="str">
        <f>"006"</f>
        <v>006</v>
      </c>
      <c r="F576" s="6">
        <v>2020</v>
      </c>
      <c r="G576" s="7">
        <v>39185500</v>
      </c>
      <c r="H576" s="7">
        <v>13813900</v>
      </c>
      <c r="I576" s="7">
        <v>25371600</v>
      </c>
    </row>
    <row r="577" spans="1:9" x14ac:dyDescent="0.2">
      <c r="A577" s="1" t="s">
        <v>206</v>
      </c>
      <c r="B577" s="6" t="str">
        <f>"33101"</f>
        <v>33101</v>
      </c>
      <c r="C577" s="1" t="s">
        <v>12</v>
      </c>
      <c r="D577" s="1" t="s">
        <v>207</v>
      </c>
      <c r="E577" s="6" t="str">
        <f>"003"</f>
        <v>003</v>
      </c>
      <c r="F577" s="6">
        <v>2012</v>
      </c>
      <c r="G577" s="7">
        <v>5703100</v>
      </c>
      <c r="H577" s="7">
        <v>1751500</v>
      </c>
      <c r="I577" s="7">
        <v>3951600</v>
      </c>
    </row>
    <row r="578" spans="1:9" x14ac:dyDescent="0.2">
      <c r="A578" s="1" t="s">
        <v>206</v>
      </c>
      <c r="B578" s="6" t="str">
        <f>"33106"</f>
        <v>33106</v>
      </c>
      <c r="C578" s="1" t="s">
        <v>12</v>
      </c>
      <c r="D578" s="1" t="s">
        <v>208</v>
      </c>
      <c r="E578" s="6" t="str">
        <f>"001"</f>
        <v>001</v>
      </c>
      <c r="F578" s="6">
        <v>2004</v>
      </c>
      <c r="G578" s="7">
        <v>12892600</v>
      </c>
      <c r="H578" s="7">
        <v>56000</v>
      </c>
      <c r="I578" s="7">
        <v>12836600</v>
      </c>
    </row>
    <row r="579" spans="1:9" x14ac:dyDescent="0.2">
      <c r="A579" s="1" t="s">
        <v>206</v>
      </c>
      <c r="B579" s="6" t="str">
        <f>"33108"</f>
        <v>33108</v>
      </c>
      <c r="C579" s="1" t="s">
        <v>12</v>
      </c>
      <c r="D579" s="1" t="s">
        <v>168</v>
      </c>
      <c r="E579" s="6" t="str">
        <f>"001"</f>
        <v>001</v>
      </c>
      <c r="F579" s="6">
        <v>2024</v>
      </c>
      <c r="G579" s="7">
        <v>5485800</v>
      </c>
      <c r="H579" s="7">
        <v>4838100</v>
      </c>
      <c r="I579" s="7">
        <v>647700</v>
      </c>
    </row>
    <row r="580" spans="1:9" x14ac:dyDescent="0.2">
      <c r="A580" s="1" t="s">
        <v>206</v>
      </c>
      <c r="B580" s="6" t="str">
        <f>"33131"</f>
        <v>33131</v>
      </c>
      <c r="C580" s="1" t="s">
        <v>12</v>
      </c>
      <c r="D580" s="1" t="s">
        <v>209</v>
      </c>
      <c r="E580" s="6" t="str">
        <f>"001"</f>
        <v>001</v>
      </c>
      <c r="F580" s="6">
        <v>2001</v>
      </c>
      <c r="G580" s="7">
        <v>1541800</v>
      </c>
      <c r="H580" s="7">
        <v>449900</v>
      </c>
      <c r="I580" s="7">
        <v>1091900</v>
      </c>
    </row>
    <row r="581" spans="1:9" x14ac:dyDescent="0.2">
      <c r="A581" s="1" t="s">
        <v>206</v>
      </c>
      <c r="B581" s="6" t="str">
        <f>"33211"</f>
        <v>33211</v>
      </c>
      <c r="C581" s="1" t="s">
        <v>8</v>
      </c>
      <c r="D581" s="1" t="s">
        <v>153</v>
      </c>
      <c r="E581" s="6" t="str">
        <f>"004"</f>
        <v>004</v>
      </c>
      <c r="F581" s="6">
        <v>2019</v>
      </c>
      <c r="G581" s="7">
        <v>3816700</v>
      </c>
      <c r="H581" s="7">
        <v>2233100</v>
      </c>
      <c r="I581" s="7">
        <v>1583600</v>
      </c>
    </row>
    <row r="582" spans="1:9" x14ac:dyDescent="0.2">
      <c r="A582" s="1" t="s">
        <v>206</v>
      </c>
      <c r="B582" s="6" t="str">
        <f>"33216"</f>
        <v>33216</v>
      </c>
      <c r="C582" s="1" t="s">
        <v>8</v>
      </c>
      <c r="D582" s="1" t="s">
        <v>210</v>
      </c>
      <c r="E582" s="6" t="str">
        <f>"008"</f>
        <v>008</v>
      </c>
      <c r="F582" s="6">
        <v>2018</v>
      </c>
      <c r="G582" s="7">
        <v>898600</v>
      </c>
      <c r="H582" s="7">
        <v>19600</v>
      </c>
      <c r="I582" s="7">
        <v>879000</v>
      </c>
    </row>
    <row r="583" spans="1:9" x14ac:dyDescent="0.2">
      <c r="A583" s="1" t="s">
        <v>206</v>
      </c>
      <c r="B583" s="6" t="str">
        <f>"33281"</f>
        <v>33281</v>
      </c>
      <c r="C583" s="1" t="s">
        <v>8</v>
      </c>
      <c r="D583" s="1" t="s">
        <v>211</v>
      </c>
      <c r="E583" s="6" t="str">
        <f>"003"</f>
        <v>003</v>
      </c>
      <c r="F583" s="6">
        <v>1997</v>
      </c>
      <c r="G583" s="7">
        <v>9281800</v>
      </c>
      <c r="H583" s="7">
        <v>1311800</v>
      </c>
      <c r="I583" s="7">
        <v>7970000</v>
      </c>
    </row>
    <row r="584" spans="1:9" x14ac:dyDescent="0.2">
      <c r="A584" s="1" t="s">
        <v>206</v>
      </c>
      <c r="B584" s="6" t="str">
        <f>"33281"</f>
        <v>33281</v>
      </c>
      <c r="C584" s="1" t="s">
        <v>8</v>
      </c>
      <c r="D584" s="1" t="s">
        <v>211</v>
      </c>
      <c r="E584" s="6" t="str">
        <f>"004"</f>
        <v>004</v>
      </c>
      <c r="F584" s="6">
        <v>1997</v>
      </c>
      <c r="G584" s="7">
        <v>1703400</v>
      </c>
      <c r="H584" s="7">
        <v>15000</v>
      </c>
      <c r="I584" s="7">
        <v>1688400</v>
      </c>
    </row>
    <row r="585" spans="1:9" x14ac:dyDescent="0.2">
      <c r="A585" s="1" t="s">
        <v>206</v>
      </c>
      <c r="B585" s="6" t="str">
        <f>"33281"</f>
        <v>33281</v>
      </c>
      <c r="C585" s="1" t="s">
        <v>8</v>
      </c>
      <c r="D585" s="1" t="s">
        <v>211</v>
      </c>
      <c r="E585" s="6" t="str">
        <f>"005"</f>
        <v>005</v>
      </c>
      <c r="F585" s="6">
        <v>2005</v>
      </c>
      <c r="G585" s="7">
        <v>873000</v>
      </c>
      <c r="H585" s="7">
        <v>161500</v>
      </c>
      <c r="I585" s="7">
        <v>711500</v>
      </c>
    </row>
    <row r="586" spans="1:9" x14ac:dyDescent="0.2">
      <c r="A586" s="1" t="s">
        <v>206</v>
      </c>
      <c r="B586" s="6" t="str">
        <f>"33281"</f>
        <v>33281</v>
      </c>
      <c r="C586" s="1" t="s">
        <v>8</v>
      </c>
      <c r="D586" s="1" t="s">
        <v>211</v>
      </c>
      <c r="E586" s="6" t="str">
        <f>"006"</f>
        <v>006</v>
      </c>
      <c r="F586" s="6">
        <v>2010</v>
      </c>
      <c r="G586" s="7">
        <v>4744400</v>
      </c>
      <c r="H586" s="7">
        <v>12400</v>
      </c>
      <c r="I586" s="7">
        <v>4732000</v>
      </c>
    </row>
    <row r="587" spans="1:9" x14ac:dyDescent="0.2">
      <c r="A587" s="1" t="s">
        <v>206</v>
      </c>
      <c r="B587" s="6" t="str">
        <f>"33281"</f>
        <v>33281</v>
      </c>
      <c r="C587" s="1" t="s">
        <v>8</v>
      </c>
      <c r="D587" s="1" t="s">
        <v>211</v>
      </c>
      <c r="E587" s="6" t="str">
        <f>"007"</f>
        <v>007</v>
      </c>
      <c r="F587" s="6">
        <v>2010</v>
      </c>
      <c r="G587" s="7">
        <v>3858900</v>
      </c>
      <c r="H587" s="7">
        <v>913500</v>
      </c>
      <c r="I587" s="7">
        <v>2945400</v>
      </c>
    </row>
    <row r="588" spans="1:9" x14ac:dyDescent="0.2">
      <c r="A588" s="1" t="s">
        <v>212</v>
      </c>
      <c r="B588" s="6" t="str">
        <f>"34191"</f>
        <v>34191</v>
      </c>
      <c r="C588" s="1" t="s">
        <v>12</v>
      </c>
      <c r="D588" s="1" t="s">
        <v>213</v>
      </c>
      <c r="E588" s="6" t="str">
        <f>"002"</f>
        <v>002</v>
      </c>
      <c r="F588" s="6">
        <v>2021</v>
      </c>
      <c r="G588" s="7">
        <v>4319700</v>
      </c>
      <c r="H588" s="7">
        <v>2543800</v>
      </c>
      <c r="I588" s="7">
        <v>1775900</v>
      </c>
    </row>
    <row r="589" spans="1:9" x14ac:dyDescent="0.2">
      <c r="A589" s="1" t="s">
        <v>212</v>
      </c>
      <c r="B589" s="6" t="str">
        <f>"34201"</f>
        <v>34201</v>
      </c>
      <c r="C589" s="1" t="s">
        <v>8</v>
      </c>
      <c r="D589" s="1" t="s">
        <v>214</v>
      </c>
      <c r="E589" s="6" t="str">
        <f>"004"</f>
        <v>004</v>
      </c>
      <c r="F589" s="6">
        <v>1999</v>
      </c>
      <c r="G589" s="7">
        <v>37104500</v>
      </c>
      <c r="H589" s="7">
        <v>16270800</v>
      </c>
      <c r="I589" s="7">
        <v>20833700</v>
      </c>
    </row>
    <row r="590" spans="1:9" x14ac:dyDescent="0.2">
      <c r="A590" s="1" t="s">
        <v>212</v>
      </c>
      <c r="B590" s="6" t="str">
        <f>"34201"</f>
        <v>34201</v>
      </c>
      <c r="C590" s="1" t="s">
        <v>8</v>
      </c>
      <c r="D590" s="1" t="s">
        <v>214</v>
      </c>
      <c r="E590" s="6" t="str">
        <f>"005"</f>
        <v>005</v>
      </c>
      <c r="F590" s="6">
        <v>2001</v>
      </c>
      <c r="G590" s="7">
        <v>22290700</v>
      </c>
      <c r="H590" s="7">
        <v>8854800</v>
      </c>
      <c r="I590" s="7">
        <v>13435900</v>
      </c>
    </row>
    <row r="591" spans="1:9" x14ac:dyDescent="0.2">
      <c r="A591" s="1" t="s">
        <v>212</v>
      </c>
      <c r="B591" s="6" t="str">
        <f>"34201"</f>
        <v>34201</v>
      </c>
      <c r="C591" s="1" t="s">
        <v>8</v>
      </c>
      <c r="D591" s="1" t="s">
        <v>214</v>
      </c>
      <c r="E591" s="6" t="str">
        <f>"006"</f>
        <v>006</v>
      </c>
      <c r="F591" s="6">
        <v>2008</v>
      </c>
      <c r="G591" s="7">
        <v>12927800</v>
      </c>
      <c r="H591" s="7">
        <v>628400</v>
      </c>
      <c r="I591" s="7">
        <v>12299400</v>
      </c>
    </row>
    <row r="592" spans="1:9" x14ac:dyDescent="0.2">
      <c r="A592" s="1" t="s">
        <v>212</v>
      </c>
      <c r="B592" s="6" t="str">
        <f>"34201"</f>
        <v>34201</v>
      </c>
      <c r="C592" s="1" t="s">
        <v>8</v>
      </c>
      <c r="D592" s="1" t="s">
        <v>214</v>
      </c>
      <c r="E592" s="6" t="str">
        <f>"007"</f>
        <v>007</v>
      </c>
      <c r="F592" s="6">
        <v>2010</v>
      </c>
      <c r="G592" s="7">
        <v>18453200</v>
      </c>
      <c r="H592" s="7">
        <v>12583900</v>
      </c>
      <c r="I592" s="7">
        <v>5869300</v>
      </c>
    </row>
    <row r="593" spans="1:9" x14ac:dyDescent="0.2">
      <c r="A593" s="1" t="s">
        <v>215</v>
      </c>
      <c r="B593" s="6" t="str">
        <f t="shared" ref="B593:B604" si="26">"35251"</f>
        <v>35251</v>
      </c>
      <c r="C593" s="1" t="s">
        <v>8</v>
      </c>
      <c r="D593" s="1" t="s">
        <v>216</v>
      </c>
      <c r="E593" s="6" t="str">
        <f>"003"</f>
        <v>003</v>
      </c>
      <c r="F593" s="6">
        <v>2005</v>
      </c>
      <c r="G593" s="8">
        <v>54772500</v>
      </c>
      <c r="H593" s="8">
        <v>15367900</v>
      </c>
      <c r="I593" s="8">
        <v>39404600</v>
      </c>
    </row>
    <row r="594" spans="1:9" x14ac:dyDescent="0.2">
      <c r="A594" s="1" t="s">
        <v>215</v>
      </c>
      <c r="B594" s="6" t="str">
        <f t="shared" si="26"/>
        <v>35251</v>
      </c>
      <c r="C594" s="1" t="s">
        <v>8</v>
      </c>
      <c r="D594" s="1" t="s">
        <v>216</v>
      </c>
      <c r="E594" s="6" t="str">
        <f>"004"</f>
        <v>004</v>
      </c>
      <c r="F594" s="6">
        <v>2007</v>
      </c>
      <c r="G594" s="8">
        <v>13158700</v>
      </c>
      <c r="H594" s="8">
        <v>8884500</v>
      </c>
      <c r="I594" s="9">
        <v>4274200</v>
      </c>
    </row>
    <row r="595" spans="1:9" x14ac:dyDescent="0.2">
      <c r="A595" s="1" t="s">
        <v>215</v>
      </c>
      <c r="B595" s="6" t="str">
        <f t="shared" si="26"/>
        <v>35251</v>
      </c>
      <c r="C595" s="1" t="s">
        <v>8</v>
      </c>
      <c r="D595" s="1" t="s">
        <v>216</v>
      </c>
      <c r="E595" s="6" t="str">
        <f>"005"</f>
        <v>005</v>
      </c>
      <c r="F595" s="6">
        <v>2007</v>
      </c>
      <c r="G595" s="7">
        <v>723500</v>
      </c>
      <c r="H595" s="7">
        <v>74000</v>
      </c>
      <c r="I595" s="7">
        <v>649500</v>
      </c>
    </row>
    <row r="596" spans="1:9" x14ac:dyDescent="0.2">
      <c r="A596" s="1" t="s">
        <v>215</v>
      </c>
      <c r="B596" s="6" t="str">
        <f t="shared" si="26"/>
        <v>35251</v>
      </c>
      <c r="C596" s="1" t="s">
        <v>8</v>
      </c>
      <c r="D596" s="1" t="s">
        <v>216</v>
      </c>
      <c r="E596" s="6" t="str">
        <f>"006"</f>
        <v>006</v>
      </c>
      <c r="F596" s="6">
        <v>2009</v>
      </c>
      <c r="G596" s="7">
        <v>19559400</v>
      </c>
      <c r="H596" s="7">
        <v>11982400</v>
      </c>
      <c r="I596" s="7">
        <v>7577000</v>
      </c>
    </row>
    <row r="597" spans="1:9" x14ac:dyDescent="0.2">
      <c r="A597" s="1" t="s">
        <v>215</v>
      </c>
      <c r="B597" s="6" t="str">
        <f t="shared" si="26"/>
        <v>35251</v>
      </c>
      <c r="C597" s="1" t="s">
        <v>8</v>
      </c>
      <c r="D597" s="1" t="s">
        <v>216</v>
      </c>
      <c r="E597" s="6" t="str">
        <f>"007"</f>
        <v>007</v>
      </c>
      <c r="F597" s="6">
        <v>2009</v>
      </c>
      <c r="G597" s="7">
        <v>18540600</v>
      </c>
      <c r="H597" s="7">
        <v>7787000</v>
      </c>
      <c r="I597" s="7">
        <v>10753600</v>
      </c>
    </row>
    <row r="598" spans="1:9" x14ac:dyDescent="0.2">
      <c r="A598" s="1" t="s">
        <v>215</v>
      </c>
      <c r="B598" s="6" t="str">
        <f t="shared" si="26"/>
        <v>35251</v>
      </c>
      <c r="C598" s="1" t="s">
        <v>8</v>
      </c>
      <c r="D598" s="1" t="s">
        <v>216</v>
      </c>
      <c r="E598" s="6" t="str">
        <f>"008"</f>
        <v>008</v>
      </c>
      <c r="F598" s="6">
        <v>2011</v>
      </c>
      <c r="G598" s="7">
        <v>36552700</v>
      </c>
      <c r="H598" s="7">
        <v>17316700</v>
      </c>
      <c r="I598" s="7">
        <v>19236000</v>
      </c>
    </row>
    <row r="599" spans="1:9" x14ac:dyDescent="0.2">
      <c r="A599" s="1" t="s">
        <v>215</v>
      </c>
      <c r="B599" s="6" t="str">
        <f t="shared" si="26"/>
        <v>35251</v>
      </c>
      <c r="C599" s="1" t="s">
        <v>8</v>
      </c>
      <c r="D599" s="1" t="s">
        <v>216</v>
      </c>
      <c r="E599" s="6" t="str">
        <f>"009"</f>
        <v>009</v>
      </c>
      <c r="F599" s="6">
        <v>2013</v>
      </c>
      <c r="G599" s="7">
        <v>5086000</v>
      </c>
      <c r="H599" s="7">
        <v>5936000</v>
      </c>
      <c r="I599" s="7">
        <v>-850000</v>
      </c>
    </row>
    <row r="600" spans="1:9" x14ac:dyDescent="0.2">
      <c r="A600" s="1" t="s">
        <v>215</v>
      </c>
      <c r="B600" s="6" t="str">
        <f t="shared" si="26"/>
        <v>35251</v>
      </c>
      <c r="C600" s="1" t="s">
        <v>8</v>
      </c>
      <c r="D600" s="1" t="s">
        <v>216</v>
      </c>
      <c r="E600" s="6" t="str">
        <f>"010"</f>
        <v>010</v>
      </c>
      <c r="F600" s="6">
        <v>2015</v>
      </c>
      <c r="G600" s="7">
        <v>3152900</v>
      </c>
      <c r="H600" s="7">
        <v>296800</v>
      </c>
      <c r="I600" s="7">
        <v>2856100</v>
      </c>
    </row>
    <row r="601" spans="1:9" x14ac:dyDescent="0.2">
      <c r="A601" s="1" t="s">
        <v>215</v>
      </c>
      <c r="B601" s="6" t="str">
        <f t="shared" si="26"/>
        <v>35251</v>
      </c>
      <c r="C601" s="1" t="s">
        <v>8</v>
      </c>
      <c r="D601" s="1" t="s">
        <v>216</v>
      </c>
      <c r="E601" s="6" t="str">
        <f>"011"</f>
        <v>011</v>
      </c>
      <c r="F601" s="6">
        <v>2016</v>
      </c>
      <c r="G601" s="7">
        <v>29556400</v>
      </c>
      <c r="H601" s="7">
        <v>14980600</v>
      </c>
      <c r="I601" s="7">
        <v>14575800</v>
      </c>
    </row>
    <row r="602" spans="1:9" x14ac:dyDescent="0.2">
      <c r="A602" s="1" t="s">
        <v>215</v>
      </c>
      <c r="B602" s="6" t="str">
        <f t="shared" si="26"/>
        <v>35251</v>
      </c>
      <c r="C602" s="1" t="s">
        <v>8</v>
      </c>
      <c r="D602" s="1" t="s">
        <v>216</v>
      </c>
      <c r="E602" s="6" t="str">
        <f>"012"</f>
        <v>012</v>
      </c>
      <c r="F602" s="6">
        <v>2017</v>
      </c>
      <c r="G602" s="7">
        <v>2523600</v>
      </c>
      <c r="H602" s="7">
        <v>1594700</v>
      </c>
      <c r="I602" s="7">
        <v>928900</v>
      </c>
    </row>
    <row r="603" spans="1:9" x14ac:dyDescent="0.2">
      <c r="A603" s="1" t="s">
        <v>215</v>
      </c>
      <c r="B603" s="6" t="str">
        <f t="shared" si="26"/>
        <v>35251</v>
      </c>
      <c r="C603" s="1" t="s">
        <v>8</v>
      </c>
      <c r="D603" s="1" t="s">
        <v>216</v>
      </c>
      <c r="E603" s="6" t="str">
        <f>"013"</f>
        <v>013</v>
      </c>
      <c r="F603" s="6">
        <v>2021</v>
      </c>
      <c r="G603" s="7">
        <v>52300</v>
      </c>
      <c r="H603" s="7">
        <v>68100</v>
      </c>
      <c r="I603" s="7">
        <v>-15800</v>
      </c>
    </row>
    <row r="604" spans="1:9" x14ac:dyDescent="0.2">
      <c r="A604" s="1" t="s">
        <v>215</v>
      </c>
      <c r="B604" s="6" t="str">
        <f t="shared" si="26"/>
        <v>35251</v>
      </c>
      <c r="C604" s="1" t="s">
        <v>8</v>
      </c>
      <c r="D604" s="1" t="s">
        <v>216</v>
      </c>
      <c r="E604" s="6" t="str">
        <f>"014"</f>
        <v>014</v>
      </c>
      <c r="F604" s="6">
        <v>2021</v>
      </c>
      <c r="G604" s="7">
        <v>601700</v>
      </c>
      <c r="H604" s="7">
        <v>263000</v>
      </c>
      <c r="I604" s="7">
        <v>338700</v>
      </c>
    </row>
    <row r="605" spans="1:9" x14ac:dyDescent="0.2">
      <c r="A605" s="1" t="s">
        <v>215</v>
      </c>
      <c r="B605" s="6" t="str">
        <f>"35286"</f>
        <v>35286</v>
      </c>
      <c r="C605" s="1" t="s">
        <v>8</v>
      </c>
      <c r="D605" s="1" t="s">
        <v>217</v>
      </c>
      <c r="E605" s="6" t="str">
        <f>"003"</f>
        <v>003</v>
      </c>
      <c r="F605" s="6">
        <v>2008</v>
      </c>
      <c r="G605" s="7">
        <v>4733200</v>
      </c>
      <c r="H605" s="7">
        <v>178200</v>
      </c>
      <c r="I605" s="7">
        <v>4555000</v>
      </c>
    </row>
    <row r="606" spans="1:9" x14ac:dyDescent="0.2">
      <c r="A606" s="1" t="s">
        <v>215</v>
      </c>
      <c r="B606" s="6" t="str">
        <f>"35286"</f>
        <v>35286</v>
      </c>
      <c r="C606" s="1" t="s">
        <v>8</v>
      </c>
      <c r="D606" s="1" t="s">
        <v>217</v>
      </c>
      <c r="E606" s="6" t="str">
        <f>"004"</f>
        <v>004</v>
      </c>
      <c r="F606" s="6">
        <v>2013</v>
      </c>
      <c r="G606" s="7">
        <v>6395800</v>
      </c>
      <c r="H606" s="7">
        <v>2052200</v>
      </c>
      <c r="I606" s="7">
        <v>4343600</v>
      </c>
    </row>
    <row r="607" spans="1:9" x14ac:dyDescent="0.2">
      <c r="A607" s="1" t="s">
        <v>215</v>
      </c>
      <c r="B607" s="6" t="str">
        <f>"35286"</f>
        <v>35286</v>
      </c>
      <c r="C607" s="1" t="s">
        <v>8</v>
      </c>
      <c r="D607" s="1" t="s">
        <v>217</v>
      </c>
      <c r="E607" s="6" t="str">
        <f>"005"</f>
        <v>005</v>
      </c>
      <c r="F607" s="6">
        <v>2015</v>
      </c>
      <c r="G607" s="7">
        <v>1480600</v>
      </c>
      <c r="H607" s="7">
        <v>610200</v>
      </c>
      <c r="I607" s="7">
        <v>870400</v>
      </c>
    </row>
    <row r="608" spans="1:9" x14ac:dyDescent="0.2">
      <c r="A608" s="1" t="s">
        <v>215</v>
      </c>
      <c r="B608" s="6" t="str">
        <f>"35286"</f>
        <v>35286</v>
      </c>
      <c r="C608" s="1" t="s">
        <v>8</v>
      </c>
      <c r="D608" s="1" t="s">
        <v>217</v>
      </c>
      <c r="E608" s="6" t="str">
        <f>"006"</f>
        <v>006</v>
      </c>
      <c r="F608" s="6">
        <v>2022</v>
      </c>
      <c r="G608" s="7">
        <v>3761000</v>
      </c>
      <c r="H608" s="7">
        <v>1273800</v>
      </c>
      <c r="I608" s="7">
        <v>2487200</v>
      </c>
    </row>
    <row r="609" spans="1:9" x14ac:dyDescent="0.2">
      <c r="A609" s="1" t="s">
        <v>218</v>
      </c>
      <c r="B609" s="6" t="str">
        <f>"36112"</f>
        <v>36112</v>
      </c>
      <c r="C609" s="1" t="s">
        <v>12</v>
      </c>
      <c r="D609" s="1" t="s">
        <v>219</v>
      </c>
      <c r="E609" s="6" t="str">
        <f>"002"</f>
        <v>002</v>
      </c>
      <c r="F609" s="6">
        <v>2024</v>
      </c>
      <c r="G609" s="7">
        <v>905600</v>
      </c>
      <c r="H609" s="7">
        <v>891000</v>
      </c>
      <c r="I609" s="7">
        <v>14600</v>
      </c>
    </row>
    <row r="610" spans="1:9" x14ac:dyDescent="0.2">
      <c r="A610" s="1" t="s">
        <v>218</v>
      </c>
      <c r="B610" s="6" t="str">
        <f>"36147"</f>
        <v>36147</v>
      </c>
      <c r="C610" s="1" t="s">
        <v>12</v>
      </c>
      <c r="D610" s="1" t="s">
        <v>220</v>
      </c>
      <c r="E610" s="6" t="str">
        <f>"001"</f>
        <v>001</v>
      </c>
      <c r="F610" s="6">
        <v>2017</v>
      </c>
      <c r="G610" s="7">
        <v>5738100</v>
      </c>
      <c r="H610" s="7">
        <v>1247400</v>
      </c>
      <c r="I610" s="7">
        <v>4490700</v>
      </c>
    </row>
    <row r="611" spans="1:9" x14ac:dyDescent="0.2">
      <c r="A611" s="1" t="s">
        <v>218</v>
      </c>
      <c r="B611" s="6" t="str">
        <f>"36186"</f>
        <v>36186</v>
      </c>
      <c r="C611" s="1" t="s">
        <v>12</v>
      </c>
      <c r="D611" s="1" t="s">
        <v>221</v>
      </c>
      <c r="E611" s="6" t="str">
        <f>"002"</f>
        <v>002</v>
      </c>
      <c r="F611" s="6">
        <v>2017</v>
      </c>
      <c r="G611" s="7">
        <v>7756800</v>
      </c>
      <c r="H611" s="7">
        <v>2901900</v>
      </c>
      <c r="I611" s="7">
        <v>4854900</v>
      </c>
    </row>
    <row r="612" spans="1:9" x14ac:dyDescent="0.2">
      <c r="A612" s="1" t="s">
        <v>218</v>
      </c>
      <c r="B612" s="6" t="str">
        <f>"36191"</f>
        <v>36191</v>
      </c>
      <c r="C612" s="1" t="s">
        <v>12</v>
      </c>
      <c r="D612" s="1" t="s">
        <v>222</v>
      </c>
      <c r="E612" s="6" t="str">
        <f>"002"</f>
        <v>002</v>
      </c>
      <c r="F612" s="6">
        <v>2010</v>
      </c>
      <c r="G612" s="7">
        <v>6961800</v>
      </c>
      <c r="H612" s="7">
        <v>2290100</v>
      </c>
      <c r="I612" s="7">
        <v>4671700</v>
      </c>
    </row>
    <row r="613" spans="1:9" x14ac:dyDescent="0.2">
      <c r="A613" s="1" t="s">
        <v>218</v>
      </c>
      <c r="B613" s="6" t="str">
        <f>"36241"</f>
        <v>36241</v>
      </c>
      <c r="C613" s="1" t="s">
        <v>8</v>
      </c>
      <c r="D613" s="1" t="s">
        <v>50</v>
      </c>
      <c r="E613" s="6" t="str">
        <f>"001E"</f>
        <v>001E</v>
      </c>
      <c r="F613" s="6">
        <v>2005</v>
      </c>
      <c r="G613" s="7">
        <v>1273600</v>
      </c>
      <c r="H613" s="7">
        <v>244900</v>
      </c>
      <c r="I613" s="7">
        <v>1028700</v>
      </c>
    </row>
    <row r="614" spans="1:9" x14ac:dyDescent="0.2">
      <c r="A614" s="1" t="s">
        <v>218</v>
      </c>
      <c r="B614" s="6" t="str">
        <f>"36241"</f>
        <v>36241</v>
      </c>
      <c r="C614" s="1" t="s">
        <v>8</v>
      </c>
      <c r="D614" s="1" t="s">
        <v>50</v>
      </c>
      <c r="E614" s="6" t="str">
        <f>"004"</f>
        <v>004</v>
      </c>
      <c r="F614" s="6">
        <v>2011</v>
      </c>
      <c r="G614" s="7">
        <v>41897800</v>
      </c>
      <c r="H614" s="7">
        <v>3599400</v>
      </c>
      <c r="I614" s="7">
        <v>38298400</v>
      </c>
    </row>
    <row r="615" spans="1:9" x14ac:dyDescent="0.2">
      <c r="A615" s="1" t="s">
        <v>218</v>
      </c>
      <c r="B615" s="6" t="str">
        <f t="shared" ref="B615:B622" si="27">"36251"</f>
        <v>36251</v>
      </c>
      <c r="C615" s="1" t="s">
        <v>8</v>
      </c>
      <c r="D615" s="1" t="s">
        <v>218</v>
      </c>
      <c r="E615" s="6" t="str">
        <f>"016"</f>
        <v>016</v>
      </c>
      <c r="F615" s="6">
        <v>2003</v>
      </c>
      <c r="G615" s="7">
        <v>51670600</v>
      </c>
      <c r="H615" s="7">
        <v>23530300</v>
      </c>
      <c r="I615" s="7">
        <v>28140300</v>
      </c>
    </row>
    <row r="616" spans="1:9" x14ac:dyDescent="0.2">
      <c r="A616" s="1" t="s">
        <v>218</v>
      </c>
      <c r="B616" s="6" t="str">
        <f t="shared" si="27"/>
        <v>36251</v>
      </c>
      <c r="C616" s="1" t="s">
        <v>8</v>
      </c>
      <c r="D616" s="1" t="s">
        <v>218</v>
      </c>
      <c r="E616" s="6" t="str">
        <f>"018"</f>
        <v>018</v>
      </c>
      <c r="F616" s="6">
        <v>2015</v>
      </c>
      <c r="G616" s="7">
        <v>46730100</v>
      </c>
      <c r="H616" s="7">
        <v>12518200</v>
      </c>
      <c r="I616" s="7">
        <v>34211900</v>
      </c>
    </row>
    <row r="617" spans="1:9" x14ac:dyDescent="0.2">
      <c r="A617" s="1" t="s">
        <v>218</v>
      </c>
      <c r="B617" s="6" t="str">
        <f t="shared" si="27"/>
        <v>36251</v>
      </c>
      <c r="C617" s="1" t="s">
        <v>8</v>
      </c>
      <c r="D617" s="1" t="s">
        <v>218</v>
      </c>
      <c r="E617" s="6" t="str">
        <f>"019"</f>
        <v>019</v>
      </c>
      <c r="F617" s="6">
        <v>2017</v>
      </c>
      <c r="G617" s="7">
        <v>94642400</v>
      </c>
      <c r="H617" s="7">
        <v>52252200</v>
      </c>
      <c r="I617" s="7">
        <v>42390200</v>
      </c>
    </row>
    <row r="618" spans="1:9" x14ac:dyDescent="0.2">
      <c r="A618" s="1" t="s">
        <v>218</v>
      </c>
      <c r="B618" s="6" t="str">
        <f t="shared" si="27"/>
        <v>36251</v>
      </c>
      <c r="C618" s="1" t="s">
        <v>8</v>
      </c>
      <c r="D618" s="1" t="s">
        <v>218</v>
      </c>
      <c r="E618" s="6" t="str">
        <f>"020"</f>
        <v>020</v>
      </c>
      <c r="F618" s="6">
        <v>2018</v>
      </c>
      <c r="G618" s="7">
        <v>63165000</v>
      </c>
      <c r="H618" s="7">
        <v>19633700</v>
      </c>
      <c r="I618" s="7">
        <v>43531300</v>
      </c>
    </row>
    <row r="619" spans="1:9" x14ac:dyDescent="0.2">
      <c r="A619" s="1" t="s">
        <v>218</v>
      </c>
      <c r="B619" s="6" t="str">
        <f t="shared" si="27"/>
        <v>36251</v>
      </c>
      <c r="C619" s="1" t="s">
        <v>8</v>
      </c>
      <c r="D619" s="1" t="s">
        <v>218</v>
      </c>
      <c r="E619" s="6" t="str">
        <f>"021"</f>
        <v>021</v>
      </c>
      <c r="F619" s="6">
        <v>2018</v>
      </c>
      <c r="G619" s="7">
        <v>86987700</v>
      </c>
      <c r="H619" s="7">
        <v>19723100</v>
      </c>
      <c r="I619" s="7">
        <v>67264600</v>
      </c>
    </row>
    <row r="620" spans="1:9" x14ac:dyDescent="0.2">
      <c r="A620" s="1" t="s">
        <v>218</v>
      </c>
      <c r="B620" s="6" t="str">
        <f t="shared" si="27"/>
        <v>36251</v>
      </c>
      <c r="C620" s="1" t="s">
        <v>8</v>
      </c>
      <c r="D620" s="1" t="s">
        <v>218</v>
      </c>
      <c r="E620" s="6" t="str">
        <f>"022"</f>
        <v>022</v>
      </c>
      <c r="F620" s="6">
        <v>2020</v>
      </c>
      <c r="G620" s="7">
        <v>13030600</v>
      </c>
      <c r="H620" s="7">
        <v>3113300</v>
      </c>
      <c r="I620" s="7">
        <v>9917300</v>
      </c>
    </row>
    <row r="621" spans="1:9" x14ac:dyDescent="0.2">
      <c r="A621" s="1" t="s">
        <v>218</v>
      </c>
      <c r="B621" s="6" t="str">
        <f t="shared" si="27"/>
        <v>36251</v>
      </c>
      <c r="C621" s="1" t="s">
        <v>8</v>
      </c>
      <c r="D621" s="1" t="s">
        <v>218</v>
      </c>
      <c r="E621" s="6" t="str">
        <f>"023"</f>
        <v>023</v>
      </c>
      <c r="F621" s="6">
        <v>2022</v>
      </c>
      <c r="G621" s="7">
        <v>34117000</v>
      </c>
      <c r="H621" s="7">
        <v>10791200</v>
      </c>
      <c r="I621" s="7">
        <v>23325800</v>
      </c>
    </row>
    <row r="622" spans="1:9" x14ac:dyDescent="0.2">
      <c r="A622" s="1" t="s">
        <v>218</v>
      </c>
      <c r="B622" s="6" t="str">
        <f t="shared" si="27"/>
        <v>36251</v>
      </c>
      <c r="C622" s="1" t="s">
        <v>8</v>
      </c>
      <c r="D622" s="1" t="s">
        <v>218</v>
      </c>
      <c r="E622" s="6" t="str">
        <f>"024"</f>
        <v>024</v>
      </c>
      <c r="F622" s="6">
        <v>2024</v>
      </c>
      <c r="G622" s="7">
        <v>2500000</v>
      </c>
      <c r="H622" s="7">
        <v>2270200</v>
      </c>
      <c r="I622" s="7">
        <v>229800</v>
      </c>
    </row>
    <row r="623" spans="1:9" x14ac:dyDescent="0.2">
      <c r="A623" s="1" t="s">
        <v>218</v>
      </c>
      <c r="B623" s="6" t="str">
        <f t="shared" ref="B623:B634" si="28">"36286"</f>
        <v>36286</v>
      </c>
      <c r="C623" s="1" t="s">
        <v>8</v>
      </c>
      <c r="D623" s="1" t="s">
        <v>223</v>
      </c>
      <c r="E623" s="6" t="str">
        <f>"006"</f>
        <v>006</v>
      </c>
      <c r="F623" s="6">
        <v>2000</v>
      </c>
      <c r="G623" s="7">
        <v>2933200</v>
      </c>
      <c r="H623" s="7">
        <v>0</v>
      </c>
      <c r="I623" s="7">
        <v>2933200</v>
      </c>
    </row>
    <row r="624" spans="1:9" x14ac:dyDescent="0.2">
      <c r="A624" s="1" t="s">
        <v>218</v>
      </c>
      <c r="B624" s="6" t="str">
        <f t="shared" si="28"/>
        <v>36286</v>
      </c>
      <c r="C624" s="1" t="s">
        <v>8</v>
      </c>
      <c r="D624" s="1" t="s">
        <v>223</v>
      </c>
      <c r="E624" s="6" t="str">
        <f>"007"</f>
        <v>007</v>
      </c>
      <c r="F624" s="6">
        <v>2001</v>
      </c>
      <c r="G624" s="7">
        <v>4287600</v>
      </c>
      <c r="H624" s="7">
        <v>0</v>
      </c>
      <c r="I624" s="7">
        <v>4287600</v>
      </c>
    </row>
    <row r="625" spans="1:9" x14ac:dyDescent="0.2">
      <c r="A625" s="1" t="s">
        <v>218</v>
      </c>
      <c r="B625" s="6" t="str">
        <f t="shared" si="28"/>
        <v>36286</v>
      </c>
      <c r="C625" s="1" t="s">
        <v>8</v>
      </c>
      <c r="D625" s="1" t="s">
        <v>223</v>
      </c>
      <c r="E625" s="6" t="str">
        <f>"008"</f>
        <v>008</v>
      </c>
      <c r="F625" s="6">
        <v>2002</v>
      </c>
      <c r="G625" s="7">
        <v>13896700</v>
      </c>
      <c r="H625" s="7">
        <v>0</v>
      </c>
      <c r="I625" s="7">
        <v>13896700</v>
      </c>
    </row>
    <row r="626" spans="1:9" x14ac:dyDescent="0.2">
      <c r="A626" s="1" t="s">
        <v>218</v>
      </c>
      <c r="B626" s="6" t="str">
        <f t="shared" si="28"/>
        <v>36286</v>
      </c>
      <c r="C626" s="1" t="s">
        <v>8</v>
      </c>
      <c r="D626" s="1" t="s">
        <v>223</v>
      </c>
      <c r="E626" s="6" t="str">
        <f>"009"</f>
        <v>009</v>
      </c>
      <c r="F626" s="6">
        <v>2003</v>
      </c>
      <c r="G626" s="7">
        <v>10526300</v>
      </c>
      <c r="H626" s="7">
        <v>10800</v>
      </c>
      <c r="I626" s="7">
        <v>10515500</v>
      </c>
    </row>
    <row r="627" spans="1:9" x14ac:dyDescent="0.2">
      <c r="A627" s="1" t="s">
        <v>218</v>
      </c>
      <c r="B627" s="6" t="str">
        <f t="shared" si="28"/>
        <v>36286</v>
      </c>
      <c r="C627" s="1" t="s">
        <v>8</v>
      </c>
      <c r="D627" s="1" t="s">
        <v>223</v>
      </c>
      <c r="E627" s="6" t="str">
        <f>"010"</f>
        <v>010</v>
      </c>
      <c r="F627" s="6">
        <v>2014</v>
      </c>
      <c r="G627" s="7">
        <v>7063200</v>
      </c>
      <c r="H627" s="7">
        <v>2044500</v>
      </c>
      <c r="I627" s="7">
        <v>5018700</v>
      </c>
    </row>
    <row r="628" spans="1:9" x14ac:dyDescent="0.2">
      <c r="A628" s="1" t="s">
        <v>218</v>
      </c>
      <c r="B628" s="6" t="str">
        <f t="shared" si="28"/>
        <v>36286</v>
      </c>
      <c r="C628" s="1" t="s">
        <v>8</v>
      </c>
      <c r="D628" s="1" t="s">
        <v>223</v>
      </c>
      <c r="E628" s="6" t="str">
        <f>"011"</f>
        <v>011</v>
      </c>
      <c r="F628" s="6">
        <v>2016</v>
      </c>
      <c r="G628" s="7">
        <v>3353500</v>
      </c>
      <c r="H628" s="7">
        <v>832800</v>
      </c>
      <c r="I628" s="7">
        <v>2520700</v>
      </c>
    </row>
    <row r="629" spans="1:9" x14ac:dyDescent="0.2">
      <c r="A629" s="1" t="s">
        <v>218</v>
      </c>
      <c r="B629" s="6" t="str">
        <f t="shared" si="28"/>
        <v>36286</v>
      </c>
      <c r="C629" s="1" t="s">
        <v>8</v>
      </c>
      <c r="D629" s="1" t="s">
        <v>223</v>
      </c>
      <c r="E629" s="6" t="str">
        <f>"012"</f>
        <v>012</v>
      </c>
      <c r="F629" s="6">
        <v>2018</v>
      </c>
      <c r="G629" s="7">
        <v>8628300</v>
      </c>
      <c r="H629" s="7">
        <v>3138200</v>
      </c>
      <c r="I629" s="7">
        <v>5490100</v>
      </c>
    </row>
    <row r="630" spans="1:9" x14ac:dyDescent="0.2">
      <c r="A630" s="1" t="s">
        <v>218</v>
      </c>
      <c r="B630" s="6" t="str">
        <f t="shared" si="28"/>
        <v>36286</v>
      </c>
      <c r="C630" s="1" t="s">
        <v>8</v>
      </c>
      <c r="D630" s="1" t="s">
        <v>223</v>
      </c>
      <c r="E630" s="6" t="str">
        <f>"013"</f>
        <v>013</v>
      </c>
      <c r="F630" s="6">
        <v>2020</v>
      </c>
      <c r="G630" s="7">
        <v>9037300</v>
      </c>
      <c r="H630" s="7">
        <v>5501200</v>
      </c>
      <c r="I630" s="7">
        <v>3536100</v>
      </c>
    </row>
    <row r="631" spans="1:9" x14ac:dyDescent="0.2">
      <c r="A631" s="1" t="s">
        <v>218</v>
      </c>
      <c r="B631" s="6" t="str">
        <f t="shared" si="28"/>
        <v>36286</v>
      </c>
      <c r="C631" s="1" t="s">
        <v>8</v>
      </c>
      <c r="D631" s="1" t="s">
        <v>223</v>
      </c>
      <c r="E631" s="6" t="str">
        <f>"014"</f>
        <v>014</v>
      </c>
      <c r="F631" s="6">
        <v>2021</v>
      </c>
      <c r="G631" s="7">
        <v>11700900</v>
      </c>
      <c r="H631" s="7">
        <v>7355800</v>
      </c>
      <c r="I631" s="7">
        <v>4345100</v>
      </c>
    </row>
    <row r="632" spans="1:9" x14ac:dyDescent="0.2">
      <c r="A632" s="1" t="s">
        <v>218</v>
      </c>
      <c r="B632" s="6" t="str">
        <f t="shared" si="28"/>
        <v>36286</v>
      </c>
      <c r="C632" s="1" t="s">
        <v>8</v>
      </c>
      <c r="D632" s="1" t="s">
        <v>223</v>
      </c>
      <c r="E632" s="6" t="str">
        <f>"015"</f>
        <v>015</v>
      </c>
      <c r="F632" s="6">
        <v>2021</v>
      </c>
      <c r="G632" s="7">
        <v>138600</v>
      </c>
      <c r="H632" s="7">
        <v>80400</v>
      </c>
      <c r="I632" s="7">
        <v>58200</v>
      </c>
    </row>
    <row r="633" spans="1:9" x14ac:dyDescent="0.2">
      <c r="A633" s="1" t="s">
        <v>218</v>
      </c>
      <c r="B633" s="6" t="str">
        <f t="shared" si="28"/>
        <v>36286</v>
      </c>
      <c r="C633" s="1" t="s">
        <v>8</v>
      </c>
      <c r="D633" s="1" t="s">
        <v>223</v>
      </c>
      <c r="E633" s="6" t="str">
        <f>"016"</f>
        <v>016</v>
      </c>
      <c r="F633" s="6">
        <v>2021</v>
      </c>
      <c r="G633" s="7">
        <v>235300</v>
      </c>
      <c r="H633" s="7">
        <v>231200</v>
      </c>
      <c r="I633" s="7">
        <v>4100</v>
      </c>
    </row>
    <row r="634" spans="1:9" x14ac:dyDescent="0.2">
      <c r="A634" s="1" t="s">
        <v>218</v>
      </c>
      <c r="B634" s="6" t="str">
        <f t="shared" si="28"/>
        <v>36286</v>
      </c>
      <c r="C634" s="1" t="s">
        <v>8</v>
      </c>
      <c r="D634" s="1" t="s">
        <v>223</v>
      </c>
      <c r="E634" s="6" t="str">
        <f>"017"</f>
        <v>017</v>
      </c>
      <c r="F634" s="6">
        <v>2022</v>
      </c>
      <c r="G634" s="7">
        <v>291700</v>
      </c>
      <c r="H634" s="7">
        <v>150600</v>
      </c>
      <c r="I634" s="7">
        <v>141100</v>
      </c>
    </row>
    <row r="635" spans="1:9" x14ac:dyDescent="0.2">
      <c r="A635" s="1" t="s">
        <v>224</v>
      </c>
      <c r="B635" s="6" t="str">
        <f>"37102"</f>
        <v>37102</v>
      </c>
      <c r="C635" s="1" t="s">
        <v>12</v>
      </c>
      <c r="D635" s="1" t="s">
        <v>225</v>
      </c>
      <c r="E635" s="6" t="str">
        <f>"001"</f>
        <v>001</v>
      </c>
      <c r="F635" s="6">
        <v>1995</v>
      </c>
      <c r="G635" s="7">
        <v>8214400</v>
      </c>
      <c r="H635" s="7">
        <v>44500</v>
      </c>
      <c r="I635" s="7">
        <v>8169900</v>
      </c>
    </row>
    <row r="636" spans="1:9" x14ac:dyDescent="0.2">
      <c r="A636" s="1" t="s">
        <v>224</v>
      </c>
      <c r="B636" s="6" t="str">
        <f>"37102"</f>
        <v>37102</v>
      </c>
      <c r="C636" s="1" t="s">
        <v>12</v>
      </c>
      <c r="D636" s="1" t="s">
        <v>225</v>
      </c>
      <c r="E636" s="6" t="str">
        <f>"002"</f>
        <v>002</v>
      </c>
      <c r="F636" s="6">
        <v>2007</v>
      </c>
      <c r="G636" s="7">
        <v>20557300</v>
      </c>
      <c r="H636" s="7">
        <v>1889500</v>
      </c>
      <c r="I636" s="7">
        <v>18667800</v>
      </c>
    </row>
    <row r="637" spans="1:9" x14ac:dyDescent="0.2">
      <c r="A637" s="1" t="s">
        <v>224</v>
      </c>
      <c r="B637" s="6" t="str">
        <f>"37121"</f>
        <v>37121</v>
      </c>
      <c r="C637" s="1" t="s">
        <v>12</v>
      </c>
      <c r="D637" s="1" t="s">
        <v>226</v>
      </c>
      <c r="E637" s="6" t="str">
        <f>"001"</f>
        <v>001</v>
      </c>
      <c r="F637" s="6">
        <v>2002</v>
      </c>
      <c r="G637" s="7">
        <v>2244800</v>
      </c>
      <c r="H637" s="7">
        <v>789300</v>
      </c>
      <c r="I637" s="7">
        <v>1455500</v>
      </c>
    </row>
    <row r="638" spans="1:9" x14ac:dyDescent="0.2">
      <c r="A638" s="1" t="s">
        <v>224</v>
      </c>
      <c r="B638" s="6" t="str">
        <f>"37121"</f>
        <v>37121</v>
      </c>
      <c r="C638" s="1" t="s">
        <v>12</v>
      </c>
      <c r="D638" s="1" t="s">
        <v>226</v>
      </c>
      <c r="E638" s="6" t="str">
        <f>"003"</f>
        <v>003</v>
      </c>
      <c r="F638" s="6">
        <v>2005</v>
      </c>
      <c r="G638" s="7">
        <v>13183700</v>
      </c>
      <c r="H638" s="7">
        <v>55700</v>
      </c>
      <c r="I638" s="7">
        <v>13128000</v>
      </c>
    </row>
    <row r="639" spans="1:9" x14ac:dyDescent="0.2">
      <c r="A639" s="1" t="s">
        <v>224</v>
      </c>
      <c r="B639" s="6" t="str">
        <f>"37121"</f>
        <v>37121</v>
      </c>
      <c r="C639" s="1" t="s">
        <v>12</v>
      </c>
      <c r="D639" s="1" t="s">
        <v>226</v>
      </c>
      <c r="E639" s="6" t="str">
        <f>"004"</f>
        <v>004</v>
      </c>
      <c r="F639" s="6">
        <v>2016</v>
      </c>
      <c r="G639" s="7">
        <v>6446100</v>
      </c>
      <c r="H639" s="7">
        <v>1655200</v>
      </c>
      <c r="I639" s="7">
        <v>4790900</v>
      </c>
    </row>
    <row r="640" spans="1:9" x14ac:dyDescent="0.2">
      <c r="A640" s="1" t="s">
        <v>224</v>
      </c>
      <c r="B640" s="6" t="str">
        <f>"37136"</f>
        <v>37136</v>
      </c>
      <c r="C640" s="1" t="s">
        <v>12</v>
      </c>
      <c r="D640" s="1" t="s">
        <v>227</v>
      </c>
      <c r="E640" s="6" t="str">
        <f>"001"</f>
        <v>001</v>
      </c>
      <c r="F640" s="6">
        <v>2007</v>
      </c>
      <c r="G640" s="7">
        <v>27563900</v>
      </c>
      <c r="H640" s="7">
        <v>3240500</v>
      </c>
      <c r="I640" s="7">
        <v>24323400</v>
      </c>
    </row>
    <row r="641" spans="1:9" x14ac:dyDescent="0.2">
      <c r="A641" s="1" t="s">
        <v>224</v>
      </c>
      <c r="B641" s="6" t="str">
        <f>"37145"</f>
        <v>37145</v>
      </c>
      <c r="C641" s="1" t="s">
        <v>12</v>
      </c>
      <c r="D641" s="1" t="s">
        <v>228</v>
      </c>
      <c r="E641" s="6" t="str">
        <f>"001"</f>
        <v>001</v>
      </c>
      <c r="F641" s="6">
        <v>2005</v>
      </c>
      <c r="G641" s="7">
        <v>21590800</v>
      </c>
      <c r="H641" s="7">
        <v>2262300</v>
      </c>
      <c r="I641" s="7">
        <v>19328500</v>
      </c>
    </row>
    <row r="642" spans="1:9" x14ac:dyDescent="0.2">
      <c r="A642" s="1" t="s">
        <v>224</v>
      </c>
      <c r="B642" s="6" t="str">
        <f>"37145"</f>
        <v>37145</v>
      </c>
      <c r="C642" s="1" t="s">
        <v>12</v>
      </c>
      <c r="D642" s="1" t="s">
        <v>228</v>
      </c>
      <c r="E642" s="6" t="str">
        <f>"002"</f>
        <v>002</v>
      </c>
      <c r="F642" s="6">
        <v>2005</v>
      </c>
      <c r="G642" s="7">
        <v>78045800</v>
      </c>
      <c r="H642" s="7">
        <v>5398600</v>
      </c>
      <c r="I642" s="7">
        <v>72647200</v>
      </c>
    </row>
    <row r="643" spans="1:9" x14ac:dyDescent="0.2">
      <c r="A643" s="1" t="s">
        <v>224</v>
      </c>
      <c r="B643" s="6" t="str">
        <f>"37145"</f>
        <v>37145</v>
      </c>
      <c r="C643" s="1" t="s">
        <v>12</v>
      </c>
      <c r="D643" s="1" t="s">
        <v>228</v>
      </c>
      <c r="E643" s="6" t="str">
        <f>"003"</f>
        <v>003</v>
      </c>
      <c r="F643" s="6">
        <v>2005</v>
      </c>
      <c r="G643" s="7">
        <v>3369600</v>
      </c>
      <c r="H643" s="7">
        <v>405100</v>
      </c>
      <c r="I643" s="7">
        <v>2964500</v>
      </c>
    </row>
    <row r="644" spans="1:9" x14ac:dyDescent="0.2">
      <c r="A644" s="1" t="s">
        <v>224</v>
      </c>
      <c r="B644" s="6" t="str">
        <f>"37145"</f>
        <v>37145</v>
      </c>
      <c r="C644" s="1" t="s">
        <v>12</v>
      </c>
      <c r="D644" s="1" t="s">
        <v>228</v>
      </c>
      <c r="E644" s="6" t="str">
        <f>"004"</f>
        <v>004</v>
      </c>
      <c r="F644" s="6">
        <v>2005</v>
      </c>
      <c r="G644" s="7">
        <v>10827600</v>
      </c>
      <c r="H644" s="7">
        <v>106600</v>
      </c>
      <c r="I644" s="7">
        <v>10721000</v>
      </c>
    </row>
    <row r="645" spans="1:9" x14ac:dyDescent="0.2">
      <c r="A645" s="1" t="s">
        <v>224</v>
      </c>
      <c r="B645" s="6" t="str">
        <f>"37146"</f>
        <v>37146</v>
      </c>
      <c r="C645" s="1" t="s">
        <v>12</v>
      </c>
      <c r="D645" s="1" t="s">
        <v>229</v>
      </c>
      <c r="E645" s="6" t="str">
        <f>"001"</f>
        <v>001</v>
      </c>
      <c r="F645" s="6">
        <v>1997</v>
      </c>
      <c r="G645" s="7">
        <v>21439900</v>
      </c>
      <c r="H645" s="7">
        <v>447100</v>
      </c>
      <c r="I645" s="7">
        <v>20992800</v>
      </c>
    </row>
    <row r="646" spans="1:9" x14ac:dyDescent="0.2">
      <c r="A646" s="1" t="s">
        <v>224</v>
      </c>
      <c r="B646" s="6" t="str">
        <f>"37151"</f>
        <v>37151</v>
      </c>
      <c r="C646" s="1" t="s">
        <v>12</v>
      </c>
      <c r="D646" s="1" t="s">
        <v>230</v>
      </c>
      <c r="E646" s="6" t="str">
        <f>"001"</f>
        <v>001</v>
      </c>
      <c r="F646" s="6">
        <v>2002</v>
      </c>
      <c r="G646" s="7">
        <v>50325000</v>
      </c>
      <c r="H646" s="7">
        <v>6647900</v>
      </c>
      <c r="I646" s="7">
        <v>43677100</v>
      </c>
    </row>
    <row r="647" spans="1:9" x14ac:dyDescent="0.2">
      <c r="A647" s="1" t="s">
        <v>224</v>
      </c>
      <c r="B647" s="6" t="str">
        <f>"37151"</f>
        <v>37151</v>
      </c>
      <c r="C647" s="1" t="s">
        <v>12</v>
      </c>
      <c r="D647" s="1" t="s">
        <v>230</v>
      </c>
      <c r="E647" s="6" t="str">
        <f>"002"</f>
        <v>002</v>
      </c>
      <c r="F647" s="6">
        <v>2016</v>
      </c>
      <c r="G647" s="7">
        <v>6410200</v>
      </c>
      <c r="H647" s="7">
        <v>1124200</v>
      </c>
      <c r="I647" s="7">
        <v>5286000</v>
      </c>
    </row>
    <row r="648" spans="1:9" x14ac:dyDescent="0.2">
      <c r="A648" s="1" t="s">
        <v>224</v>
      </c>
      <c r="B648" s="6" t="str">
        <f>"37168"</f>
        <v>37168</v>
      </c>
      <c r="C648" s="1" t="s">
        <v>12</v>
      </c>
      <c r="D648" s="1" t="s">
        <v>231</v>
      </c>
      <c r="E648" s="6" t="str">
        <f>"001"</f>
        <v>001</v>
      </c>
      <c r="F648" s="6">
        <v>2020</v>
      </c>
      <c r="G648" s="7">
        <v>27594400</v>
      </c>
      <c r="H648" s="7">
        <v>19949600</v>
      </c>
      <c r="I648" s="7">
        <v>7644800</v>
      </c>
    </row>
    <row r="649" spans="1:9" x14ac:dyDescent="0.2">
      <c r="A649" s="1" t="s">
        <v>224</v>
      </c>
      <c r="B649" s="6" t="str">
        <f>"37176"</f>
        <v>37176</v>
      </c>
      <c r="C649" s="1" t="s">
        <v>12</v>
      </c>
      <c r="D649" s="1" t="s">
        <v>232</v>
      </c>
      <c r="E649" s="6" t="str">
        <f>"002"</f>
        <v>002</v>
      </c>
      <c r="F649" s="6">
        <v>2013</v>
      </c>
      <c r="G649" s="7">
        <v>91980300</v>
      </c>
      <c r="H649" s="7">
        <v>41698900</v>
      </c>
      <c r="I649" s="7">
        <v>50281400</v>
      </c>
    </row>
    <row r="650" spans="1:9" x14ac:dyDescent="0.2">
      <c r="A650" s="1" t="s">
        <v>224</v>
      </c>
      <c r="B650" s="6" t="str">
        <f>"37176"</f>
        <v>37176</v>
      </c>
      <c r="C650" s="1" t="s">
        <v>12</v>
      </c>
      <c r="D650" s="1" t="s">
        <v>232</v>
      </c>
      <c r="E650" s="6" t="str">
        <f>"003"</f>
        <v>003</v>
      </c>
      <c r="F650" s="6">
        <v>2024</v>
      </c>
      <c r="G650" s="7">
        <v>52134000</v>
      </c>
      <c r="H650" s="7">
        <v>49957100</v>
      </c>
      <c r="I650" s="7">
        <v>2176900</v>
      </c>
    </row>
    <row r="651" spans="1:9" x14ac:dyDescent="0.2">
      <c r="A651" s="1" t="s">
        <v>224</v>
      </c>
      <c r="B651" s="6" t="str">
        <f>"37181"</f>
        <v>37181</v>
      </c>
      <c r="C651" s="1" t="s">
        <v>12</v>
      </c>
      <c r="D651" s="1" t="s">
        <v>233</v>
      </c>
      <c r="E651" s="6" t="str">
        <f>"003"</f>
        <v>003</v>
      </c>
      <c r="F651" s="6">
        <v>2013</v>
      </c>
      <c r="G651" s="7">
        <v>14942700</v>
      </c>
      <c r="H651" s="7">
        <v>519500</v>
      </c>
      <c r="I651" s="7">
        <v>14423200</v>
      </c>
    </row>
    <row r="652" spans="1:9" x14ac:dyDescent="0.2">
      <c r="A652" s="1" t="s">
        <v>224</v>
      </c>
      <c r="B652" s="6" t="str">
        <f>"37181"</f>
        <v>37181</v>
      </c>
      <c r="C652" s="1" t="s">
        <v>12</v>
      </c>
      <c r="D652" s="1" t="s">
        <v>233</v>
      </c>
      <c r="E652" s="6" t="str">
        <f>"004"</f>
        <v>004</v>
      </c>
      <c r="F652" s="6">
        <v>2016</v>
      </c>
      <c r="G652" s="7">
        <v>10433300</v>
      </c>
      <c r="H652" s="7">
        <v>7044900</v>
      </c>
      <c r="I652" s="7">
        <v>3388400</v>
      </c>
    </row>
    <row r="653" spans="1:9" x14ac:dyDescent="0.2">
      <c r="A653" s="1" t="s">
        <v>224</v>
      </c>
      <c r="B653" s="6" t="str">
        <f>"37182"</f>
        <v>37182</v>
      </c>
      <c r="C653" s="1" t="s">
        <v>12</v>
      </c>
      <c r="D653" s="1" t="s">
        <v>234</v>
      </c>
      <c r="E653" s="6" t="str">
        <f>"003"</f>
        <v>003</v>
      </c>
      <c r="F653" s="6">
        <v>2006</v>
      </c>
      <c r="G653" s="7">
        <v>12758400</v>
      </c>
      <c r="H653" s="7">
        <v>2413400</v>
      </c>
      <c r="I653" s="7">
        <v>10345000</v>
      </c>
    </row>
    <row r="654" spans="1:9" x14ac:dyDescent="0.2">
      <c r="A654" s="1" t="s">
        <v>224</v>
      </c>
      <c r="B654" s="6" t="str">
        <f>"37182"</f>
        <v>37182</v>
      </c>
      <c r="C654" s="1" t="s">
        <v>12</v>
      </c>
      <c r="D654" s="1" t="s">
        <v>234</v>
      </c>
      <c r="E654" s="6" t="str">
        <f>"004"</f>
        <v>004</v>
      </c>
      <c r="F654" s="6">
        <v>2015</v>
      </c>
      <c r="G654" s="7">
        <v>40399900</v>
      </c>
      <c r="H654" s="7">
        <v>9055500</v>
      </c>
      <c r="I654" s="7">
        <v>31344400</v>
      </c>
    </row>
    <row r="655" spans="1:9" x14ac:dyDescent="0.2">
      <c r="A655" s="1" t="s">
        <v>224</v>
      </c>
      <c r="B655" s="6" t="str">
        <f>"37186"</f>
        <v>37186</v>
      </c>
      <c r="C655" s="1" t="s">
        <v>12</v>
      </c>
      <c r="D655" s="1" t="s">
        <v>63</v>
      </c>
      <c r="E655" s="6" t="str">
        <f>"001"</f>
        <v>001</v>
      </c>
      <c r="F655" s="6">
        <v>1998</v>
      </c>
      <c r="G655" s="7">
        <v>529800</v>
      </c>
      <c r="H655" s="7">
        <v>196000</v>
      </c>
      <c r="I655" s="7">
        <v>333800</v>
      </c>
    </row>
    <row r="656" spans="1:9" x14ac:dyDescent="0.2">
      <c r="A656" s="1" t="s">
        <v>224</v>
      </c>
      <c r="B656" s="6" t="str">
        <f>"37192"</f>
        <v>37192</v>
      </c>
      <c r="C656" s="1" t="s">
        <v>12</v>
      </c>
      <c r="D656" s="1" t="s">
        <v>235</v>
      </c>
      <c r="E656" s="6" t="str">
        <f>"001"</f>
        <v>001</v>
      </c>
      <c r="F656" s="6">
        <v>1998</v>
      </c>
      <c r="G656" s="7">
        <v>321186700</v>
      </c>
      <c r="H656" s="7">
        <v>38651600</v>
      </c>
      <c r="I656" s="7">
        <v>282535100</v>
      </c>
    </row>
    <row r="657" spans="1:9" x14ac:dyDescent="0.2">
      <c r="A657" s="1" t="s">
        <v>224</v>
      </c>
      <c r="B657" s="6" t="str">
        <f>"37192"</f>
        <v>37192</v>
      </c>
      <c r="C657" s="1" t="s">
        <v>12</v>
      </c>
      <c r="D657" s="1" t="s">
        <v>235</v>
      </c>
      <c r="E657" s="6" t="str">
        <f>"002"</f>
        <v>002</v>
      </c>
      <c r="F657" s="6">
        <v>2004</v>
      </c>
      <c r="G657" s="7">
        <v>34485600</v>
      </c>
      <c r="H657" s="7">
        <v>34485600</v>
      </c>
      <c r="I657" s="7">
        <v>0</v>
      </c>
    </row>
    <row r="658" spans="1:9" x14ac:dyDescent="0.2">
      <c r="A658" s="1" t="s">
        <v>224</v>
      </c>
      <c r="B658" s="6" t="str">
        <f>"37201"</f>
        <v>37201</v>
      </c>
      <c r="C658" s="1" t="s">
        <v>8</v>
      </c>
      <c r="D658" s="1" t="s">
        <v>65</v>
      </c>
      <c r="E658" s="6" t="str">
        <f>"005"</f>
        <v>005</v>
      </c>
      <c r="F658" s="6">
        <v>2008</v>
      </c>
      <c r="G658" s="7">
        <v>16092000</v>
      </c>
      <c r="H658" s="7">
        <v>11303500</v>
      </c>
      <c r="I658" s="7">
        <v>4788500</v>
      </c>
    </row>
    <row r="659" spans="1:9" x14ac:dyDescent="0.2">
      <c r="A659" s="1" t="s">
        <v>224</v>
      </c>
      <c r="B659" s="6" t="str">
        <f>"37201"</f>
        <v>37201</v>
      </c>
      <c r="C659" s="1" t="s">
        <v>8</v>
      </c>
      <c r="D659" s="1" t="s">
        <v>65</v>
      </c>
      <c r="E659" s="6" t="str">
        <f>"006"</f>
        <v>006</v>
      </c>
      <c r="F659" s="6">
        <v>2016</v>
      </c>
      <c r="G659" s="7">
        <v>28216300</v>
      </c>
      <c r="H659" s="7">
        <v>5541200</v>
      </c>
      <c r="I659" s="7">
        <v>22675100</v>
      </c>
    </row>
    <row r="660" spans="1:9" x14ac:dyDescent="0.2">
      <c r="A660" s="1" t="s">
        <v>224</v>
      </c>
      <c r="B660" s="6" t="str">
        <f>"37211"</f>
        <v>37211</v>
      </c>
      <c r="C660" s="1" t="s">
        <v>8</v>
      </c>
      <c r="D660" s="1" t="s">
        <v>66</v>
      </c>
      <c r="E660" s="6" t="str">
        <f>"003"</f>
        <v>003</v>
      </c>
      <c r="F660" s="6">
        <v>2021</v>
      </c>
      <c r="G660" s="7">
        <v>1138900</v>
      </c>
      <c r="H660" s="7">
        <v>1335200</v>
      </c>
      <c r="I660" s="7">
        <v>-196300</v>
      </c>
    </row>
    <row r="661" spans="1:9" x14ac:dyDescent="0.2">
      <c r="A661" s="1" t="s">
        <v>224</v>
      </c>
      <c r="B661" s="6" t="str">
        <f>"37211"</f>
        <v>37211</v>
      </c>
      <c r="C661" s="1" t="s">
        <v>8</v>
      </c>
      <c r="D661" s="1" t="s">
        <v>66</v>
      </c>
      <c r="E661" s="6" t="str">
        <f>"004"</f>
        <v>004</v>
      </c>
      <c r="F661" s="6">
        <v>2022</v>
      </c>
      <c r="G661" s="7">
        <v>3512800</v>
      </c>
      <c r="H661" s="7">
        <v>3512800</v>
      </c>
      <c r="I661" s="7">
        <v>0</v>
      </c>
    </row>
    <row r="662" spans="1:9" x14ac:dyDescent="0.2">
      <c r="A662" s="1" t="s">
        <v>224</v>
      </c>
      <c r="B662" s="6" t="str">
        <f>"37250"</f>
        <v>37250</v>
      </c>
      <c r="C662" s="1" t="s">
        <v>8</v>
      </c>
      <c r="D662" s="1" t="s">
        <v>236</v>
      </c>
      <c r="E662" s="6" t="str">
        <f>"014"</f>
        <v>014</v>
      </c>
      <c r="F662" s="6">
        <v>2023</v>
      </c>
      <c r="G662" s="7">
        <v>4375900</v>
      </c>
      <c r="H662" s="7">
        <v>750900</v>
      </c>
      <c r="I662" s="7">
        <v>3625000</v>
      </c>
    </row>
    <row r="663" spans="1:9" x14ac:dyDescent="0.2">
      <c r="A663" s="1" t="s">
        <v>224</v>
      </c>
      <c r="B663" s="6" t="str">
        <f>"37251"</f>
        <v>37251</v>
      </c>
      <c r="C663" s="1" t="s">
        <v>8</v>
      </c>
      <c r="D663" s="1" t="s">
        <v>237</v>
      </c>
      <c r="E663" s="6" t="str">
        <f>"002"</f>
        <v>002</v>
      </c>
      <c r="F663" s="6">
        <v>2006</v>
      </c>
      <c r="G663" s="7">
        <v>46172500</v>
      </c>
      <c r="H663" s="7">
        <v>11779800</v>
      </c>
      <c r="I663" s="7">
        <v>34392700</v>
      </c>
    </row>
    <row r="664" spans="1:9" x14ac:dyDescent="0.2">
      <c r="A664" s="1" t="s">
        <v>224</v>
      </c>
      <c r="B664" s="6" t="str">
        <f>"37251"</f>
        <v>37251</v>
      </c>
      <c r="C664" s="1" t="s">
        <v>8</v>
      </c>
      <c r="D664" s="1" t="s">
        <v>237</v>
      </c>
      <c r="E664" s="6" t="str">
        <f>"003"</f>
        <v>003</v>
      </c>
      <c r="F664" s="6">
        <v>2013</v>
      </c>
      <c r="G664" s="7">
        <v>24777200</v>
      </c>
      <c r="H664" s="7">
        <v>7796500</v>
      </c>
      <c r="I664" s="7">
        <v>16980700</v>
      </c>
    </row>
    <row r="665" spans="1:9" x14ac:dyDescent="0.2">
      <c r="A665" s="1" t="s">
        <v>224</v>
      </c>
      <c r="B665" s="6" t="str">
        <f>"37281"</f>
        <v>37281</v>
      </c>
      <c r="C665" s="1" t="s">
        <v>8</v>
      </c>
      <c r="D665" s="1" t="s">
        <v>238</v>
      </c>
      <c r="E665" s="6" t="str">
        <f>"002"</f>
        <v>002</v>
      </c>
      <c r="F665" s="6">
        <v>1994</v>
      </c>
      <c r="G665" s="7">
        <v>25912700</v>
      </c>
      <c r="H665" s="7">
        <v>2995200</v>
      </c>
      <c r="I665" s="7">
        <v>22917500</v>
      </c>
    </row>
    <row r="666" spans="1:9" x14ac:dyDescent="0.2">
      <c r="A666" s="1" t="s">
        <v>224</v>
      </c>
      <c r="B666" s="6" t="str">
        <f>"37281"</f>
        <v>37281</v>
      </c>
      <c r="C666" s="1" t="s">
        <v>8</v>
      </c>
      <c r="D666" s="1" t="s">
        <v>238</v>
      </c>
      <c r="E666" s="6" t="str">
        <f>"004"</f>
        <v>004</v>
      </c>
      <c r="F666" s="6">
        <v>2017</v>
      </c>
      <c r="G666" s="7">
        <v>43695300</v>
      </c>
      <c r="H666" s="7">
        <v>5393700</v>
      </c>
      <c r="I666" s="7">
        <v>38301600</v>
      </c>
    </row>
    <row r="667" spans="1:9" x14ac:dyDescent="0.2">
      <c r="A667" s="1" t="s">
        <v>224</v>
      </c>
      <c r="B667" s="6" t="str">
        <f>"37281"</f>
        <v>37281</v>
      </c>
      <c r="C667" s="1" t="s">
        <v>8</v>
      </c>
      <c r="D667" s="1" t="s">
        <v>238</v>
      </c>
      <c r="E667" s="6" t="str">
        <f>"005"</f>
        <v>005</v>
      </c>
      <c r="F667" s="6">
        <v>2021</v>
      </c>
      <c r="G667" s="7">
        <v>1389600</v>
      </c>
      <c r="H667" s="7">
        <v>905000</v>
      </c>
      <c r="I667" s="7">
        <v>484600</v>
      </c>
    </row>
    <row r="668" spans="1:9" x14ac:dyDescent="0.2">
      <c r="A668" s="1" t="s">
        <v>224</v>
      </c>
      <c r="B668" s="6" t="str">
        <f t="shared" ref="B668:B674" si="29">"37291"</f>
        <v>37291</v>
      </c>
      <c r="C668" s="1" t="s">
        <v>8</v>
      </c>
      <c r="D668" s="1" t="s">
        <v>239</v>
      </c>
      <c r="E668" s="6" t="str">
        <f>"003"</f>
        <v>003</v>
      </c>
      <c r="F668" s="6">
        <v>1994</v>
      </c>
      <c r="G668" s="7">
        <v>174944200</v>
      </c>
      <c r="H668" s="7">
        <v>34544200</v>
      </c>
      <c r="I668" s="7">
        <v>140400000</v>
      </c>
    </row>
    <row r="669" spans="1:9" x14ac:dyDescent="0.2">
      <c r="A669" s="1" t="s">
        <v>224</v>
      </c>
      <c r="B669" s="6" t="str">
        <f t="shared" si="29"/>
        <v>37291</v>
      </c>
      <c r="C669" s="1" t="s">
        <v>8</v>
      </c>
      <c r="D669" s="1" t="s">
        <v>239</v>
      </c>
      <c r="E669" s="6" t="str">
        <f>"007"</f>
        <v>007</v>
      </c>
      <c r="F669" s="6">
        <v>2006</v>
      </c>
      <c r="G669" s="7">
        <v>128706400</v>
      </c>
      <c r="H669" s="7">
        <v>27525900</v>
      </c>
      <c r="I669" s="7">
        <v>101180500</v>
      </c>
    </row>
    <row r="670" spans="1:9" x14ac:dyDescent="0.2">
      <c r="A670" s="1" t="s">
        <v>224</v>
      </c>
      <c r="B670" s="6" t="str">
        <f t="shared" si="29"/>
        <v>37291</v>
      </c>
      <c r="C670" s="1" t="s">
        <v>8</v>
      </c>
      <c r="D670" s="1" t="s">
        <v>239</v>
      </c>
      <c r="E670" s="6" t="str">
        <f>"008"</f>
        <v>008</v>
      </c>
      <c r="F670" s="6">
        <v>2012</v>
      </c>
      <c r="G670" s="7">
        <v>121724400</v>
      </c>
      <c r="H670" s="7">
        <v>39377900</v>
      </c>
      <c r="I670" s="7">
        <v>82346500</v>
      </c>
    </row>
    <row r="671" spans="1:9" x14ac:dyDescent="0.2">
      <c r="A671" s="1" t="s">
        <v>224</v>
      </c>
      <c r="B671" s="6" t="str">
        <f t="shared" si="29"/>
        <v>37291</v>
      </c>
      <c r="C671" s="1" t="s">
        <v>8</v>
      </c>
      <c r="D671" s="1" t="s">
        <v>239</v>
      </c>
      <c r="E671" s="6" t="str">
        <f>"009"</f>
        <v>009</v>
      </c>
      <c r="F671" s="6">
        <v>2012</v>
      </c>
      <c r="G671" s="7">
        <v>2169100</v>
      </c>
      <c r="H671" s="7">
        <v>1079500</v>
      </c>
      <c r="I671" s="7">
        <v>1089600</v>
      </c>
    </row>
    <row r="672" spans="1:9" x14ac:dyDescent="0.2">
      <c r="A672" s="1" t="s">
        <v>224</v>
      </c>
      <c r="B672" s="6" t="str">
        <f t="shared" si="29"/>
        <v>37291</v>
      </c>
      <c r="C672" s="1" t="s">
        <v>8</v>
      </c>
      <c r="D672" s="1" t="s">
        <v>239</v>
      </c>
      <c r="E672" s="6" t="str">
        <f>"010"</f>
        <v>010</v>
      </c>
      <c r="F672" s="6">
        <v>2013</v>
      </c>
      <c r="G672" s="7">
        <v>80503700</v>
      </c>
      <c r="H672" s="7">
        <v>43412200</v>
      </c>
      <c r="I672" s="7">
        <v>37091500</v>
      </c>
    </row>
    <row r="673" spans="1:9" x14ac:dyDescent="0.2">
      <c r="A673" s="1" t="s">
        <v>224</v>
      </c>
      <c r="B673" s="6" t="str">
        <f t="shared" si="29"/>
        <v>37291</v>
      </c>
      <c r="C673" s="1" t="s">
        <v>8</v>
      </c>
      <c r="D673" s="1" t="s">
        <v>239</v>
      </c>
      <c r="E673" s="6" t="str">
        <f>"011"</f>
        <v>011</v>
      </c>
      <c r="F673" s="6">
        <v>2017</v>
      </c>
      <c r="G673" s="7">
        <v>73252500</v>
      </c>
      <c r="H673" s="7">
        <v>1386400</v>
      </c>
      <c r="I673" s="7">
        <v>71866100</v>
      </c>
    </row>
    <row r="674" spans="1:9" x14ac:dyDescent="0.2">
      <c r="A674" s="1" t="s">
        <v>224</v>
      </c>
      <c r="B674" s="6" t="str">
        <f t="shared" si="29"/>
        <v>37291</v>
      </c>
      <c r="C674" s="1" t="s">
        <v>8</v>
      </c>
      <c r="D674" s="1" t="s">
        <v>239</v>
      </c>
      <c r="E674" s="6" t="str">
        <f>"012"</f>
        <v>012</v>
      </c>
      <c r="F674" s="6">
        <v>2017</v>
      </c>
      <c r="G674" s="7">
        <v>36294500</v>
      </c>
      <c r="H674" s="7">
        <v>10539300</v>
      </c>
      <c r="I674" s="7">
        <v>25755200</v>
      </c>
    </row>
    <row r="675" spans="1:9" x14ac:dyDescent="0.2">
      <c r="A675" s="1" t="s">
        <v>240</v>
      </c>
      <c r="B675" s="6" t="str">
        <f>"38111"</f>
        <v>38111</v>
      </c>
      <c r="C675" s="1" t="s">
        <v>12</v>
      </c>
      <c r="D675" s="1" t="s">
        <v>241</v>
      </c>
      <c r="E675" s="6" t="str">
        <f>"002"</f>
        <v>002</v>
      </c>
      <c r="F675" s="6">
        <v>2017</v>
      </c>
      <c r="G675" s="7">
        <v>3546900</v>
      </c>
      <c r="H675" s="7">
        <v>365500</v>
      </c>
      <c r="I675" s="7">
        <v>3181400</v>
      </c>
    </row>
    <row r="676" spans="1:9" x14ac:dyDescent="0.2">
      <c r="A676" s="1" t="s">
        <v>240</v>
      </c>
      <c r="B676" s="6" t="str">
        <f>"38111"</f>
        <v>38111</v>
      </c>
      <c r="C676" s="1" t="s">
        <v>12</v>
      </c>
      <c r="D676" s="1" t="s">
        <v>241</v>
      </c>
      <c r="E676" s="6" t="str">
        <f>"003"</f>
        <v>003</v>
      </c>
      <c r="F676" s="6">
        <v>2018</v>
      </c>
      <c r="G676" s="7">
        <v>344200</v>
      </c>
      <c r="H676" s="7">
        <v>115800</v>
      </c>
      <c r="I676" s="7">
        <v>228400</v>
      </c>
    </row>
    <row r="677" spans="1:9" x14ac:dyDescent="0.2">
      <c r="A677" s="1" t="s">
        <v>240</v>
      </c>
      <c r="B677" s="6" t="str">
        <f>"38121"</f>
        <v>38121</v>
      </c>
      <c r="C677" s="1" t="s">
        <v>12</v>
      </c>
      <c r="D677" s="1" t="s">
        <v>242</v>
      </c>
      <c r="E677" s="6" t="str">
        <f>"002"</f>
        <v>002</v>
      </c>
      <c r="F677" s="6">
        <v>2024</v>
      </c>
      <c r="G677" s="7">
        <v>7334200</v>
      </c>
      <c r="H677" s="7">
        <v>7983500</v>
      </c>
      <c r="I677" s="7">
        <v>-649300</v>
      </c>
    </row>
    <row r="678" spans="1:9" x14ac:dyDescent="0.2">
      <c r="A678" s="1" t="s">
        <v>240</v>
      </c>
      <c r="B678" s="6" t="str">
        <f>"38171"</f>
        <v>38171</v>
      </c>
      <c r="C678" s="1" t="s">
        <v>12</v>
      </c>
      <c r="D678" s="1" t="s">
        <v>243</v>
      </c>
      <c r="E678" s="6" t="str">
        <f>"001"</f>
        <v>001</v>
      </c>
      <c r="F678" s="6">
        <v>2015</v>
      </c>
      <c r="G678" s="7">
        <v>599000</v>
      </c>
      <c r="H678" s="7">
        <v>4100</v>
      </c>
      <c r="I678" s="7">
        <v>594900</v>
      </c>
    </row>
    <row r="679" spans="1:9" x14ac:dyDescent="0.2">
      <c r="A679" s="1" t="s">
        <v>240</v>
      </c>
      <c r="B679" s="6" t="str">
        <f>"38191"</f>
        <v>38191</v>
      </c>
      <c r="C679" s="1" t="s">
        <v>12</v>
      </c>
      <c r="D679" s="1" t="s">
        <v>244</v>
      </c>
      <c r="E679" s="6" t="str">
        <f>"001"</f>
        <v>001</v>
      </c>
      <c r="F679" s="6">
        <v>2020</v>
      </c>
      <c r="G679" s="7">
        <v>6901300</v>
      </c>
      <c r="H679" s="7">
        <v>3007000</v>
      </c>
      <c r="I679" s="7">
        <v>3894300</v>
      </c>
    </row>
    <row r="680" spans="1:9" x14ac:dyDescent="0.2">
      <c r="A680" s="1" t="s">
        <v>240</v>
      </c>
      <c r="B680" s="6" t="str">
        <f t="shared" ref="B680:B693" si="30">"38251"</f>
        <v>38251</v>
      </c>
      <c r="C680" s="1" t="s">
        <v>8</v>
      </c>
      <c r="D680" s="1" t="s">
        <v>240</v>
      </c>
      <c r="E680" s="6" t="str">
        <f>"006"</f>
        <v>006</v>
      </c>
      <c r="F680" s="6">
        <v>2002</v>
      </c>
      <c r="G680" s="7">
        <v>18166800</v>
      </c>
      <c r="H680" s="7">
        <v>323100</v>
      </c>
      <c r="I680" s="7">
        <v>17843700</v>
      </c>
    </row>
    <row r="681" spans="1:9" x14ac:dyDescent="0.2">
      <c r="A681" s="1" t="s">
        <v>240</v>
      </c>
      <c r="B681" s="6" t="str">
        <f t="shared" si="30"/>
        <v>38251</v>
      </c>
      <c r="C681" s="1" t="s">
        <v>8</v>
      </c>
      <c r="D681" s="1" t="s">
        <v>240</v>
      </c>
      <c r="E681" s="6" t="str">
        <f>"007"</f>
        <v>007</v>
      </c>
      <c r="F681" s="6">
        <v>2005</v>
      </c>
      <c r="G681" s="7">
        <v>7994900</v>
      </c>
      <c r="H681" s="7">
        <v>2755800</v>
      </c>
      <c r="I681" s="7">
        <v>5239100</v>
      </c>
    </row>
    <row r="682" spans="1:9" x14ac:dyDescent="0.2">
      <c r="A682" s="1" t="s">
        <v>240</v>
      </c>
      <c r="B682" s="6" t="str">
        <f t="shared" si="30"/>
        <v>38251</v>
      </c>
      <c r="C682" s="1" t="s">
        <v>8</v>
      </c>
      <c r="D682" s="1" t="s">
        <v>240</v>
      </c>
      <c r="E682" s="6" t="str">
        <f>"008"</f>
        <v>008</v>
      </c>
      <c r="F682" s="6">
        <v>2007</v>
      </c>
      <c r="G682" s="7">
        <v>8502800</v>
      </c>
      <c r="H682" s="7">
        <v>1308500</v>
      </c>
      <c r="I682" s="7">
        <v>7194300</v>
      </c>
    </row>
    <row r="683" spans="1:9" x14ac:dyDescent="0.2">
      <c r="A683" s="1" t="s">
        <v>240</v>
      </c>
      <c r="B683" s="6" t="str">
        <f t="shared" si="30"/>
        <v>38251</v>
      </c>
      <c r="C683" s="1" t="s">
        <v>8</v>
      </c>
      <c r="D683" s="1" t="s">
        <v>240</v>
      </c>
      <c r="E683" s="6" t="str">
        <f>"009"</f>
        <v>009</v>
      </c>
      <c r="F683" s="6">
        <v>2009</v>
      </c>
      <c r="G683" s="7">
        <v>1413900</v>
      </c>
      <c r="H683" s="7">
        <v>312900</v>
      </c>
      <c r="I683" s="7">
        <v>1101000</v>
      </c>
    </row>
    <row r="684" spans="1:9" x14ac:dyDescent="0.2">
      <c r="A684" s="1" t="s">
        <v>240</v>
      </c>
      <c r="B684" s="6" t="str">
        <f t="shared" si="30"/>
        <v>38251</v>
      </c>
      <c r="C684" s="1" t="s">
        <v>8</v>
      </c>
      <c r="D684" s="1" t="s">
        <v>240</v>
      </c>
      <c r="E684" s="6" t="str">
        <f>"010"</f>
        <v>010</v>
      </c>
      <c r="F684" s="6">
        <v>2010</v>
      </c>
      <c r="G684" s="7">
        <v>14404700</v>
      </c>
      <c r="H684" s="7">
        <v>3500500</v>
      </c>
      <c r="I684" s="7">
        <v>10904200</v>
      </c>
    </row>
    <row r="685" spans="1:9" x14ac:dyDescent="0.2">
      <c r="A685" s="1" t="s">
        <v>240</v>
      </c>
      <c r="B685" s="6" t="str">
        <f t="shared" si="30"/>
        <v>38251</v>
      </c>
      <c r="C685" s="1" t="s">
        <v>8</v>
      </c>
      <c r="D685" s="1" t="s">
        <v>240</v>
      </c>
      <c r="E685" s="6" t="str">
        <f>"011"</f>
        <v>011</v>
      </c>
      <c r="F685" s="6">
        <v>2011</v>
      </c>
      <c r="G685" s="7">
        <v>49774700</v>
      </c>
      <c r="H685" s="7">
        <v>13575100</v>
      </c>
      <c r="I685" s="7">
        <v>36199600</v>
      </c>
    </row>
    <row r="686" spans="1:9" x14ac:dyDescent="0.2">
      <c r="A686" s="1" t="s">
        <v>240</v>
      </c>
      <c r="B686" s="6" t="str">
        <f t="shared" si="30"/>
        <v>38251</v>
      </c>
      <c r="C686" s="1" t="s">
        <v>8</v>
      </c>
      <c r="D686" s="1" t="s">
        <v>240</v>
      </c>
      <c r="E686" s="6" t="str">
        <f>"012"</f>
        <v>012</v>
      </c>
      <c r="F686" s="6">
        <v>2012</v>
      </c>
      <c r="G686" s="7">
        <v>3440700</v>
      </c>
      <c r="H686" s="7">
        <v>1049700</v>
      </c>
      <c r="I686" s="7">
        <v>2391000</v>
      </c>
    </row>
    <row r="687" spans="1:9" x14ac:dyDescent="0.2">
      <c r="A687" s="1" t="s">
        <v>240</v>
      </c>
      <c r="B687" s="6" t="str">
        <f t="shared" si="30"/>
        <v>38251</v>
      </c>
      <c r="C687" s="1" t="s">
        <v>8</v>
      </c>
      <c r="D687" s="1" t="s">
        <v>240</v>
      </c>
      <c r="E687" s="6" t="str">
        <f>"013"</f>
        <v>013</v>
      </c>
      <c r="F687" s="6">
        <v>2016</v>
      </c>
      <c r="G687" s="7">
        <v>10124600</v>
      </c>
      <c r="H687" s="7">
        <v>3849200</v>
      </c>
      <c r="I687" s="7">
        <v>6275400</v>
      </c>
    </row>
    <row r="688" spans="1:9" x14ac:dyDescent="0.2">
      <c r="A688" s="1" t="s">
        <v>240</v>
      </c>
      <c r="B688" s="6" t="str">
        <f t="shared" si="30"/>
        <v>38251</v>
      </c>
      <c r="C688" s="1" t="s">
        <v>8</v>
      </c>
      <c r="D688" s="1" t="s">
        <v>240</v>
      </c>
      <c r="E688" s="6" t="str">
        <f>"014"</f>
        <v>014</v>
      </c>
      <c r="F688" s="6">
        <v>2022</v>
      </c>
      <c r="G688" s="7">
        <v>12414000</v>
      </c>
      <c r="H688" s="7">
        <v>4380900</v>
      </c>
      <c r="I688" s="7">
        <v>8033100</v>
      </c>
    </row>
    <row r="689" spans="1:9" x14ac:dyDescent="0.2">
      <c r="A689" s="1" t="s">
        <v>240</v>
      </c>
      <c r="B689" s="6" t="str">
        <f t="shared" si="30"/>
        <v>38251</v>
      </c>
      <c r="C689" s="1" t="s">
        <v>8</v>
      </c>
      <c r="D689" s="1" t="s">
        <v>240</v>
      </c>
      <c r="E689" s="6" t="str">
        <f>"015"</f>
        <v>015</v>
      </c>
      <c r="F689" s="6">
        <v>2023</v>
      </c>
      <c r="G689" s="7">
        <v>1091400</v>
      </c>
      <c r="H689" s="7">
        <v>36500</v>
      </c>
      <c r="I689" s="7">
        <v>1054900</v>
      </c>
    </row>
    <row r="690" spans="1:9" x14ac:dyDescent="0.2">
      <c r="A690" s="1" t="s">
        <v>240</v>
      </c>
      <c r="B690" s="6" t="str">
        <f t="shared" si="30"/>
        <v>38251</v>
      </c>
      <c r="C690" s="1" t="s">
        <v>8</v>
      </c>
      <c r="D690" s="1" t="s">
        <v>240</v>
      </c>
      <c r="E690" s="6" t="str">
        <f>"016"</f>
        <v>016</v>
      </c>
      <c r="F690" s="6">
        <v>2023</v>
      </c>
      <c r="G690" s="7">
        <v>7363500</v>
      </c>
      <c r="H690" s="7">
        <v>222200</v>
      </c>
      <c r="I690" s="7">
        <v>7141300</v>
      </c>
    </row>
    <row r="691" spans="1:9" x14ac:dyDescent="0.2">
      <c r="A691" s="1" t="s">
        <v>240</v>
      </c>
      <c r="B691" s="6" t="str">
        <f t="shared" si="30"/>
        <v>38251</v>
      </c>
      <c r="C691" s="1" t="s">
        <v>8</v>
      </c>
      <c r="D691" s="1" t="s">
        <v>240</v>
      </c>
      <c r="E691" s="6" t="str">
        <f>"017"</f>
        <v>017</v>
      </c>
      <c r="F691" s="6">
        <v>2023</v>
      </c>
      <c r="G691" s="7">
        <v>10902500</v>
      </c>
      <c r="H691" s="7">
        <v>10902500</v>
      </c>
      <c r="I691" s="7">
        <v>0</v>
      </c>
    </row>
    <row r="692" spans="1:9" x14ac:dyDescent="0.2">
      <c r="A692" s="1" t="s">
        <v>240</v>
      </c>
      <c r="B692" s="6" t="str">
        <f t="shared" si="30"/>
        <v>38251</v>
      </c>
      <c r="C692" s="1" t="s">
        <v>8</v>
      </c>
      <c r="D692" s="1" t="s">
        <v>240</v>
      </c>
      <c r="E692" s="6" t="str">
        <f>"018"</f>
        <v>018</v>
      </c>
      <c r="F692" s="6">
        <v>2023</v>
      </c>
      <c r="G692" s="7">
        <v>4498300</v>
      </c>
      <c r="H692" s="7">
        <v>4498300</v>
      </c>
      <c r="I692" s="7">
        <v>0</v>
      </c>
    </row>
    <row r="693" spans="1:9" x14ac:dyDescent="0.2">
      <c r="A693" s="1" t="s">
        <v>240</v>
      </c>
      <c r="B693" s="6" t="str">
        <f t="shared" si="30"/>
        <v>38251</v>
      </c>
      <c r="C693" s="1" t="s">
        <v>8</v>
      </c>
      <c r="D693" s="1" t="s">
        <v>240</v>
      </c>
      <c r="E693" s="6" t="str">
        <f>"019"</f>
        <v>019</v>
      </c>
      <c r="F693" s="6">
        <v>2023</v>
      </c>
      <c r="G693" s="7">
        <v>1337800</v>
      </c>
      <c r="H693" s="7">
        <v>1147800</v>
      </c>
      <c r="I693" s="7">
        <v>190000</v>
      </c>
    </row>
    <row r="694" spans="1:9" x14ac:dyDescent="0.2">
      <c r="A694" s="1" t="s">
        <v>240</v>
      </c>
      <c r="B694" s="6" t="str">
        <f>"38261"</f>
        <v>38261</v>
      </c>
      <c r="C694" s="1" t="s">
        <v>8</v>
      </c>
      <c r="D694" s="1" t="s">
        <v>245</v>
      </c>
      <c r="E694" s="6" t="str">
        <f>"001"</f>
        <v>001</v>
      </c>
      <c r="F694" s="6">
        <v>1995</v>
      </c>
      <c r="G694" s="7">
        <v>1226500</v>
      </c>
      <c r="H694" s="7">
        <v>0</v>
      </c>
      <c r="I694" s="7">
        <v>1226500</v>
      </c>
    </row>
    <row r="695" spans="1:9" x14ac:dyDescent="0.2">
      <c r="A695" s="1" t="s">
        <v>240</v>
      </c>
      <c r="B695" s="6" t="str">
        <f>"38261"</f>
        <v>38261</v>
      </c>
      <c r="C695" s="1" t="s">
        <v>8</v>
      </c>
      <c r="D695" s="1" t="s">
        <v>245</v>
      </c>
      <c r="E695" s="6" t="str">
        <f>"002"</f>
        <v>002</v>
      </c>
      <c r="F695" s="6">
        <v>1998</v>
      </c>
      <c r="G695" s="7">
        <v>8808600</v>
      </c>
      <c r="H695" s="7">
        <v>28500</v>
      </c>
      <c r="I695" s="7">
        <v>8780100</v>
      </c>
    </row>
    <row r="696" spans="1:9" x14ac:dyDescent="0.2">
      <c r="A696" s="1" t="s">
        <v>240</v>
      </c>
      <c r="B696" s="6" t="str">
        <f>"38271"</f>
        <v>38271</v>
      </c>
      <c r="C696" s="1" t="s">
        <v>8</v>
      </c>
      <c r="D696" s="1" t="s">
        <v>246</v>
      </c>
      <c r="E696" s="6" t="str">
        <f>"002"</f>
        <v>002</v>
      </c>
      <c r="F696" s="6">
        <v>2023</v>
      </c>
      <c r="G696" s="7">
        <v>16430000</v>
      </c>
      <c r="H696" s="7">
        <v>14035300</v>
      </c>
      <c r="I696" s="7">
        <v>2394700</v>
      </c>
    </row>
    <row r="697" spans="1:9" x14ac:dyDescent="0.2">
      <c r="A697" s="1" t="s">
        <v>247</v>
      </c>
      <c r="B697" s="6" t="str">
        <f>"39121"</f>
        <v>39121</v>
      </c>
      <c r="C697" s="1" t="s">
        <v>12</v>
      </c>
      <c r="D697" s="1" t="s">
        <v>248</v>
      </c>
      <c r="E697" s="6" t="str">
        <f>"001"</f>
        <v>001</v>
      </c>
      <c r="F697" s="6">
        <v>1993</v>
      </c>
      <c r="G697" s="7">
        <v>10524100</v>
      </c>
      <c r="H697" s="7">
        <v>1159900</v>
      </c>
      <c r="I697" s="7">
        <v>9364200</v>
      </c>
    </row>
    <row r="698" spans="1:9" x14ac:dyDescent="0.2">
      <c r="A698" s="1" t="s">
        <v>249</v>
      </c>
      <c r="B698" s="6" t="str">
        <f>"40106"</f>
        <v>40106</v>
      </c>
      <c r="C698" s="1" t="s">
        <v>12</v>
      </c>
      <c r="D698" s="1" t="s">
        <v>250</v>
      </c>
      <c r="E698" s="6" t="str">
        <f>"001"</f>
        <v>001</v>
      </c>
      <c r="F698" s="6">
        <v>2022</v>
      </c>
      <c r="G698" s="7">
        <v>49943900</v>
      </c>
      <c r="H698" s="7">
        <v>24058400</v>
      </c>
      <c r="I698" s="7">
        <v>25885500</v>
      </c>
    </row>
    <row r="699" spans="1:9" x14ac:dyDescent="0.2">
      <c r="A699" s="1" t="s">
        <v>249</v>
      </c>
      <c r="B699" s="6" t="str">
        <f>"40107"</f>
        <v>40107</v>
      </c>
      <c r="C699" s="1" t="s">
        <v>12</v>
      </c>
      <c r="D699" s="1" t="s">
        <v>251</v>
      </c>
      <c r="E699" s="6" t="str">
        <f>"003"</f>
        <v>003</v>
      </c>
      <c r="F699" s="6">
        <v>2005</v>
      </c>
      <c r="G699" s="7">
        <v>55833000</v>
      </c>
      <c r="H699" s="7">
        <v>21652400</v>
      </c>
      <c r="I699" s="7">
        <v>34180600</v>
      </c>
    </row>
    <row r="700" spans="1:9" x14ac:dyDescent="0.2">
      <c r="A700" s="1" t="s">
        <v>249</v>
      </c>
      <c r="B700" s="6" t="str">
        <f>"40107"</f>
        <v>40107</v>
      </c>
      <c r="C700" s="1" t="s">
        <v>12</v>
      </c>
      <c r="D700" s="1" t="s">
        <v>251</v>
      </c>
      <c r="E700" s="6" t="str">
        <f>"004"</f>
        <v>004</v>
      </c>
      <c r="F700" s="6">
        <v>2005</v>
      </c>
      <c r="G700" s="7">
        <v>81210700</v>
      </c>
      <c r="H700" s="7">
        <v>19269200</v>
      </c>
      <c r="I700" s="7">
        <v>61941500</v>
      </c>
    </row>
    <row r="701" spans="1:9" x14ac:dyDescent="0.2">
      <c r="A701" s="1" t="s">
        <v>249</v>
      </c>
      <c r="B701" s="6" t="str">
        <f>"40107"</f>
        <v>40107</v>
      </c>
      <c r="C701" s="1" t="s">
        <v>12</v>
      </c>
      <c r="D701" s="1" t="s">
        <v>251</v>
      </c>
      <c r="E701" s="6" t="str">
        <f>"005"</f>
        <v>005</v>
      </c>
      <c r="F701" s="6">
        <v>2024</v>
      </c>
      <c r="G701" s="7">
        <v>44890800</v>
      </c>
      <c r="H701" s="7">
        <v>42705600</v>
      </c>
      <c r="I701" s="7">
        <v>2185200</v>
      </c>
    </row>
    <row r="702" spans="1:9" x14ac:dyDescent="0.2">
      <c r="A702" s="1" t="s">
        <v>249</v>
      </c>
      <c r="B702" s="6" t="str">
        <f>"40107"</f>
        <v>40107</v>
      </c>
      <c r="C702" s="1" t="s">
        <v>12</v>
      </c>
      <c r="D702" s="1" t="s">
        <v>251</v>
      </c>
      <c r="E702" s="6" t="str">
        <f>"006"</f>
        <v>006</v>
      </c>
      <c r="F702" s="6">
        <v>2024</v>
      </c>
      <c r="G702" s="7">
        <v>5298900</v>
      </c>
      <c r="H702" s="7">
        <v>3709900</v>
      </c>
      <c r="I702" s="7">
        <v>1589000</v>
      </c>
    </row>
    <row r="703" spans="1:9" x14ac:dyDescent="0.2">
      <c r="A703" s="1" t="s">
        <v>249</v>
      </c>
      <c r="B703" s="6" t="str">
        <f>"40131"</f>
        <v>40131</v>
      </c>
      <c r="C703" s="1" t="s">
        <v>12</v>
      </c>
      <c r="D703" s="1" t="s">
        <v>252</v>
      </c>
      <c r="E703" s="6" t="str">
        <f>"004"</f>
        <v>004</v>
      </c>
      <c r="F703" s="6">
        <v>2016</v>
      </c>
      <c r="G703" s="7">
        <v>33504400</v>
      </c>
      <c r="H703" s="7">
        <v>7476800</v>
      </c>
      <c r="I703" s="7">
        <v>26027600</v>
      </c>
    </row>
    <row r="704" spans="1:9" x14ac:dyDescent="0.2">
      <c r="A704" s="1" t="s">
        <v>249</v>
      </c>
      <c r="B704" s="6" t="str">
        <f>"40131"</f>
        <v>40131</v>
      </c>
      <c r="C704" s="1" t="s">
        <v>12</v>
      </c>
      <c r="D704" s="1" t="s">
        <v>252</v>
      </c>
      <c r="E704" s="6" t="str">
        <f>"005"</f>
        <v>005</v>
      </c>
      <c r="F704" s="6">
        <v>2018</v>
      </c>
      <c r="G704" s="7">
        <v>12561100</v>
      </c>
      <c r="H704" s="7">
        <v>5149200</v>
      </c>
      <c r="I704" s="7">
        <v>7411900</v>
      </c>
    </row>
    <row r="705" spans="1:9" x14ac:dyDescent="0.2">
      <c r="A705" s="1" t="s">
        <v>249</v>
      </c>
      <c r="B705" s="6" t="str">
        <f>"40131"</f>
        <v>40131</v>
      </c>
      <c r="C705" s="1" t="s">
        <v>12</v>
      </c>
      <c r="D705" s="1" t="s">
        <v>252</v>
      </c>
      <c r="E705" s="6" t="str">
        <f>"006"</f>
        <v>006</v>
      </c>
      <c r="F705" s="6">
        <v>2023</v>
      </c>
      <c r="G705" s="7">
        <v>0</v>
      </c>
      <c r="H705" s="7">
        <v>0</v>
      </c>
      <c r="I705" s="7">
        <v>0</v>
      </c>
    </row>
    <row r="706" spans="1:9" x14ac:dyDescent="0.2">
      <c r="A706" s="1" t="s">
        <v>249</v>
      </c>
      <c r="B706" s="6" t="str">
        <f>"40136"</f>
        <v>40136</v>
      </c>
      <c r="C706" s="1" t="s">
        <v>12</v>
      </c>
      <c r="D706" s="1" t="s">
        <v>253</v>
      </c>
      <c r="E706" s="6" t="str">
        <f>"004"</f>
        <v>004</v>
      </c>
      <c r="F706" s="6">
        <v>2016</v>
      </c>
      <c r="G706" s="7">
        <v>28546200</v>
      </c>
      <c r="H706" s="7">
        <v>11713500</v>
      </c>
      <c r="I706" s="7">
        <v>16832700</v>
      </c>
    </row>
    <row r="707" spans="1:9" x14ac:dyDescent="0.2">
      <c r="A707" s="1" t="s">
        <v>249</v>
      </c>
      <c r="B707" s="6" t="str">
        <f>"40176"</f>
        <v>40176</v>
      </c>
      <c r="C707" s="1" t="s">
        <v>12</v>
      </c>
      <c r="D707" s="1" t="s">
        <v>254</v>
      </c>
      <c r="E707" s="6" t="str">
        <f>"001"</f>
        <v>001</v>
      </c>
      <c r="F707" s="6">
        <v>2021</v>
      </c>
      <c r="G707" s="7">
        <v>5186000</v>
      </c>
      <c r="H707" s="7">
        <v>0</v>
      </c>
      <c r="I707" s="7">
        <v>5186000</v>
      </c>
    </row>
    <row r="708" spans="1:9" x14ac:dyDescent="0.2">
      <c r="A708" s="1" t="s">
        <v>249</v>
      </c>
      <c r="B708" s="6" t="str">
        <f>"40181"</f>
        <v>40181</v>
      </c>
      <c r="C708" s="1" t="s">
        <v>12</v>
      </c>
      <c r="D708" s="1" t="s">
        <v>255</v>
      </c>
      <c r="E708" s="6" t="str">
        <f>"003"</f>
        <v>003</v>
      </c>
      <c r="F708" s="6">
        <v>2008</v>
      </c>
      <c r="G708" s="7">
        <v>54914300</v>
      </c>
      <c r="H708" s="7">
        <v>7748400</v>
      </c>
      <c r="I708" s="7">
        <v>47165900</v>
      </c>
    </row>
    <row r="709" spans="1:9" x14ac:dyDescent="0.2">
      <c r="A709" s="1" t="s">
        <v>249</v>
      </c>
      <c r="B709" s="6" t="str">
        <f>"40181"</f>
        <v>40181</v>
      </c>
      <c r="C709" s="1" t="s">
        <v>12</v>
      </c>
      <c r="D709" s="1" t="s">
        <v>255</v>
      </c>
      <c r="E709" s="6" t="str">
        <f>"004"</f>
        <v>004</v>
      </c>
      <c r="F709" s="6">
        <v>2011</v>
      </c>
      <c r="G709" s="7">
        <v>22997500</v>
      </c>
      <c r="H709" s="7">
        <v>1195400</v>
      </c>
      <c r="I709" s="7">
        <v>21802100</v>
      </c>
    </row>
    <row r="710" spans="1:9" x14ac:dyDescent="0.2">
      <c r="A710" s="1" t="s">
        <v>249</v>
      </c>
      <c r="B710" s="6" t="str">
        <f>"40181"</f>
        <v>40181</v>
      </c>
      <c r="C710" s="1" t="s">
        <v>12</v>
      </c>
      <c r="D710" s="1" t="s">
        <v>255</v>
      </c>
      <c r="E710" s="6" t="str">
        <f>"005"</f>
        <v>005</v>
      </c>
      <c r="F710" s="6">
        <v>2014</v>
      </c>
      <c r="G710" s="7">
        <v>65735800</v>
      </c>
      <c r="H710" s="7">
        <v>8085800</v>
      </c>
      <c r="I710" s="7">
        <v>57650000</v>
      </c>
    </row>
    <row r="711" spans="1:9" x14ac:dyDescent="0.2">
      <c r="A711" s="1" t="s">
        <v>249</v>
      </c>
      <c r="B711" s="6" t="str">
        <f>"40191"</f>
        <v>40191</v>
      </c>
      <c r="C711" s="1" t="s">
        <v>12</v>
      </c>
      <c r="D711" s="1" t="s">
        <v>256</v>
      </c>
      <c r="E711" s="6" t="str">
        <f>"001E"</f>
        <v>001E</v>
      </c>
      <c r="F711" s="6">
        <v>2016</v>
      </c>
      <c r="G711" s="7">
        <v>8377400</v>
      </c>
      <c r="H711" s="7">
        <v>833100</v>
      </c>
      <c r="I711" s="7">
        <v>7544300</v>
      </c>
    </row>
    <row r="712" spans="1:9" x14ac:dyDescent="0.2">
      <c r="A712" s="1" t="s">
        <v>249</v>
      </c>
      <c r="B712" s="6" t="str">
        <f>"40191"</f>
        <v>40191</v>
      </c>
      <c r="C712" s="1" t="s">
        <v>12</v>
      </c>
      <c r="D712" s="1" t="s">
        <v>256</v>
      </c>
      <c r="E712" s="6" t="str">
        <f>"005"</f>
        <v>005</v>
      </c>
      <c r="F712" s="6">
        <v>2024</v>
      </c>
      <c r="G712" s="7">
        <v>15998500</v>
      </c>
      <c r="H712" s="7">
        <v>2013700</v>
      </c>
      <c r="I712" s="7">
        <v>13984800</v>
      </c>
    </row>
    <row r="713" spans="1:9" x14ac:dyDescent="0.2">
      <c r="A713" s="1" t="s">
        <v>249</v>
      </c>
      <c r="B713" s="6" t="str">
        <f>"40192"</f>
        <v>40192</v>
      </c>
      <c r="C713" s="1" t="s">
        <v>12</v>
      </c>
      <c r="D713" s="1" t="s">
        <v>257</v>
      </c>
      <c r="E713" s="6" t="str">
        <f>"001"</f>
        <v>001</v>
      </c>
      <c r="F713" s="6">
        <v>2004</v>
      </c>
      <c r="G713" s="7">
        <v>82530400</v>
      </c>
      <c r="H713" s="7">
        <v>34907800</v>
      </c>
      <c r="I713" s="7">
        <v>47622600</v>
      </c>
    </row>
    <row r="714" spans="1:9" x14ac:dyDescent="0.2">
      <c r="A714" s="1" t="s">
        <v>249</v>
      </c>
      <c r="B714" s="6" t="str">
        <f>"40192"</f>
        <v>40192</v>
      </c>
      <c r="C714" s="1" t="s">
        <v>12</v>
      </c>
      <c r="D714" s="1" t="s">
        <v>257</v>
      </c>
      <c r="E714" s="6" t="str">
        <f>"002"</f>
        <v>002</v>
      </c>
      <c r="F714" s="6">
        <v>2013</v>
      </c>
      <c r="G714" s="7">
        <v>20709000</v>
      </c>
      <c r="H714" s="7">
        <v>405600</v>
      </c>
      <c r="I714" s="7">
        <v>20303400</v>
      </c>
    </row>
    <row r="715" spans="1:9" x14ac:dyDescent="0.2">
      <c r="A715" s="1" t="s">
        <v>249</v>
      </c>
      <c r="B715" s="6" t="str">
        <f>"40211"</f>
        <v>40211</v>
      </c>
      <c r="C715" s="1" t="s">
        <v>8</v>
      </c>
      <c r="D715" s="1" t="s">
        <v>258</v>
      </c>
      <c r="E715" s="6" t="str">
        <f>"001E"</f>
        <v>001E</v>
      </c>
      <c r="F715" s="6">
        <v>2003</v>
      </c>
      <c r="G715" s="7">
        <v>19757200</v>
      </c>
      <c r="H715" s="7">
        <v>888300</v>
      </c>
      <c r="I715" s="7">
        <v>18868900</v>
      </c>
    </row>
    <row r="716" spans="1:9" x14ac:dyDescent="0.2">
      <c r="A716" s="1" t="s">
        <v>249</v>
      </c>
      <c r="B716" s="6" t="str">
        <f>"40211"</f>
        <v>40211</v>
      </c>
      <c r="C716" s="1" t="s">
        <v>8</v>
      </c>
      <c r="D716" s="1" t="s">
        <v>258</v>
      </c>
      <c r="E716" s="6" t="str">
        <f>"002E"</f>
        <v>002E</v>
      </c>
      <c r="F716" s="6">
        <v>2010</v>
      </c>
      <c r="G716" s="7">
        <v>582700</v>
      </c>
      <c r="H716" s="7">
        <v>525900</v>
      </c>
      <c r="I716" s="7">
        <v>56800</v>
      </c>
    </row>
    <row r="717" spans="1:9" x14ac:dyDescent="0.2">
      <c r="A717" s="1" t="s">
        <v>249</v>
      </c>
      <c r="B717" s="6" t="str">
        <f>"40211"</f>
        <v>40211</v>
      </c>
      <c r="C717" s="1" t="s">
        <v>8</v>
      </c>
      <c r="D717" s="1" t="s">
        <v>258</v>
      </c>
      <c r="E717" s="6" t="str">
        <f>"005"</f>
        <v>005</v>
      </c>
      <c r="F717" s="6">
        <v>2021</v>
      </c>
      <c r="G717" s="7">
        <v>70020800</v>
      </c>
      <c r="H717" s="7">
        <v>44345300</v>
      </c>
      <c r="I717" s="7">
        <v>25675500</v>
      </c>
    </row>
    <row r="718" spans="1:9" x14ac:dyDescent="0.2">
      <c r="A718" s="1" t="s">
        <v>249</v>
      </c>
      <c r="B718" s="6" t="str">
        <f>"40211"</f>
        <v>40211</v>
      </c>
      <c r="C718" s="1" t="s">
        <v>8</v>
      </c>
      <c r="D718" s="1" t="s">
        <v>258</v>
      </c>
      <c r="E718" s="6" t="str">
        <f>"006"</f>
        <v>006</v>
      </c>
      <c r="F718" s="6">
        <v>2024</v>
      </c>
      <c r="G718" s="7">
        <v>157700</v>
      </c>
      <c r="H718" s="7">
        <v>0</v>
      </c>
      <c r="I718" s="7">
        <v>157700</v>
      </c>
    </row>
    <row r="719" spans="1:9" x14ac:dyDescent="0.2">
      <c r="A719" s="1" t="s">
        <v>249</v>
      </c>
      <c r="B719" s="6" t="str">
        <f>"40226"</f>
        <v>40226</v>
      </c>
      <c r="C719" s="1" t="s">
        <v>8</v>
      </c>
      <c r="D719" s="1" t="s">
        <v>259</v>
      </c>
      <c r="E719" s="6" t="str">
        <f>"005"</f>
        <v>005</v>
      </c>
      <c r="F719" s="6">
        <v>2016</v>
      </c>
      <c r="G719" s="7">
        <v>129339900</v>
      </c>
      <c r="H719" s="7">
        <v>2237100</v>
      </c>
      <c r="I719" s="7">
        <v>127102800</v>
      </c>
    </row>
    <row r="720" spans="1:9" x14ac:dyDescent="0.2">
      <c r="A720" s="1" t="s">
        <v>249</v>
      </c>
      <c r="B720" s="6" t="str">
        <f>"40226"</f>
        <v>40226</v>
      </c>
      <c r="C720" s="1" t="s">
        <v>8</v>
      </c>
      <c r="D720" s="1" t="s">
        <v>259</v>
      </c>
      <c r="E720" s="6" t="str">
        <f>"006"</f>
        <v>006</v>
      </c>
      <c r="F720" s="6">
        <v>2019</v>
      </c>
      <c r="G720" s="7">
        <v>74135700</v>
      </c>
      <c r="H720" s="7">
        <v>2003900</v>
      </c>
      <c r="I720" s="7">
        <v>72131800</v>
      </c>
    </row>
    <row r="721" spans="1:9" x14ac:dyDescent="0.2">
      <c r="A721" s="1" t="s">
        <v>249</v>
      </c>
      <c r="B721" s="6" t="str">
        <f>"40226"</f>
        <v>40226</v>
      </c>
      <c r="C721" s="1" t="s">
        <v>8</v>
      </c>
      <c r="D721" s="1" t="s">
        <v>259</v>
      </c>
      <c r="E721" s="6" t="str">
        <f>"007"</f>
        <v>007</v>
      </c>
      <c r="F721" s="6">
        <v>2019</v>
      </c>
      <c r="G721" s="7">
        <v>39068500</v>
      </c>
      <c r="H721" s="7">
        <v>7495500</v>
      </c>
      <c r="I721" s="7">
        <v>31573000</v>
      </c>
    </row>
    <row r="722" spans="1:9" x14ac:dyDescent="0.2">
      <c r="A722" s="1" t="s">
        <v>249</v>
      </c>
      <c r="B722" s="6" t="str">
        <f>"40226"</f>
        <v>40226</v>
      </c>
      <c r="C722" s="1" t="s">
        <v>8</v>
      </c>
      <c r="D722" s="1" t="s">
        <v>259</v>
      </c>
      <c r="E722" s="6" t="str">
        <f>"008"</f>
        <v>008</v>
      </c>
      <c r="F722" s="6">
        <v>2020</v>
      </c>
      <c r="G722" s="7">
        <v>152411100</v>
      </c>
      <c r="H722" s="7">
        <v>45791800</v>
      </c>
      <c r="I722" s="7">
        <v>106619300</v>
      </c>
    </row>
    <row r="723" spans="1:9" x14ac:dyDescent="0.2">
      <c r="A723" s="1" t="s">
        <v>249</v>
      </c>
      <c r="B723" s="6" t="str">
        <f>"40226"</f>
        <v>40226</v>
      </c>
      <c r="C723" s="1" t="s">
        <v>8</v>
      </c>
      <c r="D723" s="1" t="s">
        <v>259</v>
      </c>
      <c r="E723" s="6" t="str">
        <f>"009"</f>
        <v>009</v>
      </c>
      <c r="F723" s="6">
        <v>2024</v>
      </c>
      <c r="G723" s="7">
        <v>42499400</v>
      </c>
      <c r="H723" s="7">
        <v>12257300</v>
      </c>
      <c r="I723" s="7">
        <v>30242100</v>
      </c>
    </row>
    <row r="724" spans="1:9" x14ac:dyDescent="0.2">
      <c r="A724" s="1" t="s">
        <v>249</v>
      </c>
      <c r="B724" s="6" t="str">
        <f>"40231"</f>
        <v>40231</v>
      </c>
      <c r="C724" s="1" t="s">
        <v>8</v>
      </c>
      <c r="D724" s="1" t="s">
        <v>260</v>
      </c>
      <c r="E724" s="6" t="str">
        <f>"007"</f>
        <v>007</v>
      </c>
      <c r="F724" s="6">
        <v>1996</v>
      </c>
      <c r="G724" s="7">
        <v>134101300</v>
      </c>
      <c r="H724" s="7">
        <v>13408500</v>
      </c>
      <c r="I724" s="7">
        <v>120692800</v>
      </c>
    </row>
    <row r="725" spans="1:9" x14ac:dyDescent="0.2">
      <c r="A725" s="1" t="s">
        <v>249</v>
      </c>
      <c r="B725" s="6" t="str">
        <f>"40231"</f>
        <v>40231</v>
      </c>
      <c r="C725" s="1" t="s">
        <v>8</v>
      </c>
      <c r="D725" s="1" t="s">
        <v>260</v>
      </c>
      <c r="E725" s="6" t="str">
        <f>"008"</f>
        <v>008</v>
      </c>
      <c r="F725" s="6">
        <v>2002</v>
      </c>
      <c r="G725" s="7">
        <v>176345400</v>
      </c>
      <c r="H725" s="7">
        <v>61255900</v>
      </c>
      <c r="I725" s="7">
        <v>115089500</v>
      </c>
    </row>
    <row r="726" spans="1:9" x14ac:dyDescent="0.2">
      <c r="A726" s="1" t="s">
        <v>249</v>
      </c>
      <c r="B726" s="6" t="str">
        <f t="shared" ref="B726:B731" si="31">"40236"</f>
        <v>40236</v>
      </c>
      <c r="C726" s="1" t="s">
        <v>8</v>
      </c>
      <c r="D726" s="1" t="s">
        <v>261</v>
      </c>
      <c r="E726" s="6" t="str">
        <f>"002"</f>
        <v>002</v>
      </c>
      <c r="F726" s="6">
        <v>2007</v>
      </c>
      <c r="G726" s="7">
        <v>69657800</v>
      </c>
      <c r="H726" s="7">
        <v>14497400</v>
      </c>
      <c r="I726" s="7">
        <v>55160400</v>
      </c>
    </row>
    <row r="727" spans="1:9" x14ac:dyDescent="0.2">
      <c r="A727" s="1" t="s">
        <v>249</v>
      </c>
      <c r="B727" s="6" t="str">
        <f t="shared" si="31"/>
        <v>40236</v>
      </c>
      <c r="C727" s="1" t="s">
        <v>8</v>
      </c>
      <c r="D727" s="1" t="s">
        <v>261</v>
      </c>
      <c r="E727" s="6" t="str">
        <f>"004"</f>
        <v>004</v>
      </c>
      <c r="F727" s="6">
        <v>2015</v>
      </c>
      <c r="G727" s="7">
        <v>58357300</v>
      </c>
      <c r="H727" s="7">
        <v>24571300</v>
      </c>
      <c r="I727" s="7">
        <v>33786000</v>
      </c>
    </row>
    <row r="728" spans="1:9" x14ac:dyDescent="0.2">
      <c r="A728" s="1" t="s">
        <v>249</v>
      </c>
      <c r="B728" s="6" t="str">
        <f t="shared" si="31"/>
        <v>40236</v>
      </c>
      <c r="C728" s="1" t="s">
        <v>8</v>
      </c>
      <c r="D728" s="1" t="s">
        <v>261</v>
      </c>
      <c r="E728" s="6" t="str">
        <f>"006"</f>
        <v>006</v>
      </c>
      <c r="F728" s="6">
        <v>2015</v>
      </c>
      <c r="G728" s="7">
        <v>230366200</v>
      </c>
      <c r="H728" s="7">
        <v>16889000</v>
      </c>
      <c r="I728" s="7">
        <v>213477200</v>
      </c>
    </row>
    <row r="729" spans="1:9" x14ac:dyDescent="0.2">
      <c r="A729" s="1" t="s">
        <v>249</v>
      </c>
      <c r="B729" s="6" t="str">
        <f t="shared" si="31"/>
        <v>40236</v>
      </c>
      <c r="C729" s="1" t="s">
        <v>8</v>
      </c>
      <c r="D729" s="1" t="s">
        <v>261</v>
      </c>
      <c r="E729" s="6" t="str">
        <f>"007"</f>
        <v>007</v>
      </c>
      <c r="F729" s="6">
        <v>2020</v>
      </c>
      <c r="G729" s="7">
        <v>14556400</v>
      </c>
      <c r="H729" s="7">
        <v>2152900</v>
      </c>
      <c r="I729" s="7">
        <v>12403500</v>
      </c>
    </row>
    <row r="730" spans="1:9" x14ac:dyDescent="0.2">
      <c r="A730" s="1" t="s">
        <v>249</v>
      </c>
      <c r="B730" s="6" t="str">
        <f t="shared" si="31"/>
        <v>40236</v>
      </c>
      <c r="C730" s="1" t="s">
        <v>8</v>
      </c>
      <c r="D730" s="1" t="s">
        <v>261</v>
      </c>
      <c r="E730" s="6" t="str">
        <f>"008"</f>
        <v>008</v>
      </c>
      <c r="F730" s="6">
        <v>2021</v>
      </c>
      <c r="G730" s="7">
        <v>42433600</v>
      </c>
      <c r="H730" s="7">
        <v>6897300</v>
      </c>
      <c r="I730" s="7">
        <v>35536300</v>
      </c>
    </row>
    <row r="731" spans="1:9" x14ac:dyDescent="0.2">
      <c r="A731" s="1" t="s">
        <v>249</v>
      </c>
      <c r="B731" s="6" t="str">
        <f t="shared" si="31"/>
        <v>40236</v>
      </c>
      <c r="C731" s="1" t="s">
        <v>8</v>
      </c>
      <c r="D731" s="1" t="s">
        <v>261</v>
      </c>
      <c r="E731" s="6" t="str">
        <f>"009"</f>
        <v>009</v>
      </c>
      <c r="F731" s="6">
        <v>2024</v>
      </c>
      <c r="G731" s="7">
        <v>3082700</v>
      </c>
      <c r="H731" s="7">
        <v>3007200</v>
      </c>
      <c r="I731" s="7">
        <v>75500</v>
      </c>
    </row>
    <row r="732" spans="1:9" x14ac:dyDescent="0.2">
      <c r="A732" s="1" t="s">
        <v>249</v>
      </c>
      <c r="B732" s="6" t="str">
        <f t="shared" ref="B732:B763" si="32">"40251"</f>
        <v>40251</v>
      </c>
      <c r="C732" s="1" t="s">
        <v>8</v>
      </c>
      <c r="D732" s="1" t="s">
        <v>249</v>
      </c>
      <c r="E732" s="6" t="str">
        <f>"039"</f>
        <v>039</v>
      </c>
      <c r="F732" s="6">
        <v>2000</v>
      </c>
      <c r="G732" s="7">
        <v>71091700</v>
      </c>
      <c r="H732" s="7">
        <v>19836600</v>
      </c>
      <c r="I732" s="7">
        <v>51255100</v>
      </c>
    </row>
    <row r="733" spans="1:9" x14ac:dyDescent="0.2">
      <c r="A733" s="1" t="s">
        <v>249</v>
      </c>
      <c r="B733" s="6" t="str">
        <f t="shared" si="32"/>
        <v>40251</v>
      </c>
      <c r="C733" s="1" t="s">
        <v>8</v>
      </c>
      <c r="D733" s="1" t="s">
        <v>249</v>
      </c>
      <c r="E733" s="6" t="str">
        <f>"041"</f>
        <v>041</v>
      </c>
      <c r="F733" s="6">
        <v>2000</v>
      </c>
      <c r="G733" s="7">
        <v>143081800</v>
      </c>
      <c r="H733" s="7">
        <v>9996700</v>
      </c>
      <c r="I733" s="7">
        <v>133085100</v>
      </c>
    </row>
    <row r="734" spans="1:9" x14ac:dyDescent="0.2">
      <c r="A734" s="1" t="s">
        <v>249</v>
      </c>
      <c r="B734" s="6" t="str">
        <f t="shared" si="32"/>
        <v>40251</v>
      </c>
      <c r="C734" s="1" t="s">
        <v>8</v>
      </c>
      <c r="D734" s="1" t="s">
        <v>249</v>
      </c>
      <c r="E734" s="6" t="str">
        <f>"042"</f>
        <v>042</v>
      </c>
      <c r="F734" s="6">
        <v>2001</v>
      </c>
      <c r="G734" s="7">
        <v>46274700</v>
      </c>
      <c r="H734" s="7">
        <v>6455900</v>
      </c>
      <c r="I734" s="7">
        <v>39818800</v>
      </c>
    </row>
    <row r="735" spans="1:9" x14ac:dyDescent="0.2">
      <c r="A735" s="1" t="s">
        <v>249</v>
      </c>
      <c r="B735" s="6" t="str">
        <f t="shared" si="32"/>
        <v>40251</v>
      </c>
      <c r="C735" s="1" t="s">
        <v>8</v>
      </c>
      <c r="D735" s="1" t="s">
        <v>249</v>
      </c>
      <c r="E735" s="6" t="str">
        <f>"046"</f>
        <v>046</v>
      </c>
      <c r="F735" s="6">
        <v>2001</v>
      </c>
      <c r="G735" s="7">
        <v>37542700</v>
      </c>
      <c r="H735" s="7">
        <v>11943400</v>
      </c>
      <c r="I735" s="7">
        <v>25599300</v>
      </c>
    </row>
    <row r="736" spans="1:9" x14ac:dyDescent="0.2">
      <c r="A736" s="1" t="s">
        <v>249</v>
      </c>
      <c r="B736" s="6" t="str">
        <f t="shared" si="32"/>
        <v>40251</v>
      </c>
      <c r="C736" s="1" t="s">
        <v>8</v>
      </c>
      <c r="D736" s="1" t="s">
        <v>249</v>
      </c>
      <c r="E736" s="6" t="str">
        <f>"048"</f>
        <v>048</v>
      </c>
      <c r="F736" s="6">
        <v>2002</v>
      </c>
      <c r="G736" s="7">
        <v>479832600</v>
      </c>
      <c r="H736" s="7">
        <v>43865000</v>
      </c>
      <c r="I736" s="7">
        <v>435967600</v>
      </c>
    </row>
    <row r="737" spans="1:10" x14ac:dyDescent="0.2">
      <c r="A737" s="1" t="s">
        <v>249</v>
      </c>
      <c r="B737" s="6" t="str">
        <f t="shared" si="32"/>
        <v>40251</v>
      </c>
      <c r="C737" s="1" t="s">
        <v>8</v>
      </c>
      <c r="D737" s="1" t="s">
        <v>249</v>
      </c>
      <c r="E737" s="6" t="str">
        <f>"049"</f>
        <v>049</v>
      </c>
      <c r="F737" s="6">
        <v>2002</v>
      </c>
      <c r="G737" s="7">
        <v>75212900</v>
      </c>
      <c r="H737" s="7">
        <v>2051400</v>
      </c>
      <c r="I737" s="7">
        <v>73161500</v>
      </c>
    </row>
    <row r="738" spans="1:10" x14ac:dyDescent="0.2">
      <c r="A738" s="1" t="s">
        <v>249</v>
      </c>
      <c r="B738" s="6" t="str">
        <f t="shared" si="32"/>
        <v>40251</v>
      </c>
      <c r="C738" s="1" t="s">
        <v>8</v>
      </c>
      <c r="D738" s="1" t="s">
        <v>249</v>
      </c>
      <c r="E738" s="6" t="str">
        <f>"051"</f>
        <v>051</v>
      </c>
      <c r="F738" s="6">
        <v>2003</v>
      </c>
      <c r="G738" s="7">
        <v>19672400</v>
      </c>
      <c r="H738" s="7">
        <v>10015400</v>
      </c>
      <c r="I738" s="7">
        <v>9657000</v>
      </c>
    </row>
    <row r="739" spans="1:10" x14ac:dyDescent="0.2">
      <c r="A739" s="1" t="s">
        <v>249</v>
      </c>
      <c r="B739" s="6" t="str">
        <f t="shared" si="32"/>
        <v>40251</v>
      </c>
      <c r="C739" s="1" t="s">
        <v>8</v>
      </c>
      <c r="D739" s="1" t="s">
        <v>249</v>
      </c>
      <c r="E739" s="6" t="str">
        <f>"053"</f>
        <v>053</v>
      </c>
      <c r="F739" s="6">
        <v>2004</v>
      </c>
      <c r="G739" s="7">
        <v>87510300</v>
      </c>
      <c r="H739" s="7">
        <v>4586200</v>
      </c>
      <c r="I739" s="7">
        <v>82924100</v>
      </c>
    </row>
    <row r="740" spans="1:10" x14ac:dyDescent="0.2">
      <c r="A740" s="1" t="s">
        <v>249</v>
      </c>
      <c r="B740" s="6" t="str">
        <f t="shared" si="32"/>
        <v>40251</v>
      </c>
      <c r="C740" s="1" t="s">
        <v>8</v>
      </c>
      <c r="D740" s="1" t="s">
        <v>249</v>
      </c>
      <c r="E740" s="6" t="str">
        <f>"054"</f>
        <v>054</v>
      </c>
      <c r="F740" s="6">
        <v>2004</v>
      </c>
      <c r="G740" s="7">
        <v>30322600</v>
      </c>
      <c r="H740" s="7">
        <v>576600</v>
      </c>
      <c r="I740" s="7">
        <v>29746000</v>
      </c>
    </row>
    <row r="741" spans="1:10" x14ac:dyDescent="0.2">
      <c r="A741" s="1" t="s">
        <v>249</v>
      </c>
      <c r="B741" s="6" t="str">
        <f t="shared" si="32"/>
        <v>40251</v>
      </c>
      <c r="C741" s="1" t="s">
        <v>8</v>
      </c>
      <c r="D741" s="1" t="s">
        <v>249</v>
      </c>
      <c r="E741" s="6" t="str">
        <f>"056"</f>
        <v>056</v>
      </c>
      <c r="F741" s="6">
        <v>2004</v>
      </c>
      <c r="G741" s="7">
        <v>283477800</v>
      </c>
      <c r="H741" s="7">
        <v>8955100</v>
      </c>
      <c r="I741" s="7">
        <v>274522700</v>
      </c>
    </row>
    <row r="742" spans="1:10" x14ac:dyDescent="0.2">
      <c r="A742" s="1" t="s">
        <v>249</v>
      </c>
      <c r="B742" s="6" t="str">
        <f t="shared" si="32"/>
        <v>40251</v>
      </c>
      <c r="C742" s="1" t="s">
        <v>8</v>
      </c>
      <c r="D742" s="1" t="s">
        <v>249</v>
      </c>
      <c r="E742" s="6" t="str">
        <f>"057"</f>
        <v>057</v>
      </c>
      <c r="F742" s="6">
        <v>2005</v>
      </c>
      <c r="G742" s="7">
        <v>16679000</v>
      </c>
      <c r="H742" s="7">
        <v>0</v>
      </c>
      <c r="I742" s="7">
        <v>16679000</v>
      </c>
    </row>
    <row r="743" spans="1:10" x14ac:dyDescent="0.2">
      <c r="A743" s="1" t="s">
        <v>249</v>
      </c>
      <c r="B743" s="6" t="str">
        <f t="shared" si="32"/>
        <v>40251</v>
      </c>
      <c r="C743" s="1" t="s">
        <v>8</v>
      </c>
      <c r="D743" s="1" t="s">
        <v>249</v>
      </c>
      <c r="E743" s="6" t="str">
        <f>"059"</f>
        <v>059</v>
      </c>
      <c r="F743" s="6">
        <v>2005</v>
      </c>
      <c r="G743" s="7">
        <v>96875300</v>
      </c>
      <c r="H743" s="7">
        <v>44526400</v>
      </c>
      <c r="I743" s="7">
        <v>52348900</v>
      </c>
    </row>
    <row r="744" spans="1:10" x14ac:dyDescent="0.2">
      <c r="A744" s="1" t="s">
        <v>249</v>
      </c>
      <c r="B744" s="6" t="str">
        <f t="shared" si="32"/>
        <v>40251</v>
      </c>
      <c r="C744" s="1" t="s">
        <v>8</v>
      </c>
      <c r="D744" s="1" t="s">
        <v>249</v>
      </c>
      <c r="E744" s="6" t="str">
        <f>"060"</f>
        <v>060</v>
      </c>
      <c r="F744" s="6">
        <v>2005</v>
      </c>
      <c r="G744" s="7">
        <v>13759300</v>
      </c>
      <c r="H744" s="7">
        <v>1952900</v>
      </c>
      <c r="I744" s="7">
        <v>11806400</v>
      </c>
    </row>
    <row r="745" spans="1:10" x14ac:dyDescent="0.2">
      <c r="A745" s="1" t="s">
        <v>249</v>
      </c>
      <c r="B745" s="6" t="str">
        <f t="shared" si="32"/>
        <v>40251</v>
      </c>
      <c r="C745" s="1" t="s">
        <v>8</v>
      </c>
      <c r="D745" s="1" t="s">
        <v>249</v>
      </c>
      <c r="E745" s="6" t="str">
        <f>"062"</f>
        <v>062</v>
      </c>
      <c r="F745" s="6">
        <v>2006</v>
      </c>
      <c r="G745" s="8">
        <v>6846100</v>
      </c>
      <c r="H745" s="8">
        <v>2831100</v>
      </c>
      <c r="I745" s="8">
        <v>4015000</v>
      </c>
      <c r="J745" s="10"/>
    </row>
    <row r="746" spans="1:10" x14ac:dyDescent="0.2">
      <c r="A746" s="1" t="s">
        <v>249</v>
      </c>
      <c r="B746" s="6" t="str">
        <f t="shared" si="32"/>
        <v>40251</v>
      </c>
      <c r="C746" s="1" t="s">
        <v>8</v>
      </c>
      <c r="D746" s="1" t="s">
        <v>249</v>
      </c>
      <c r="E746" s="6" t="str">
        <f>"063"</f>
        <v>063</v>
      </c>
      <c r="F746" s="6">
        <v>2006</v>
      </c>
      <c r="G746" s="8">
        <v>11200700</v>
      </c>
      <c r="H746" s="8">
        <v>6016100</v>
      </c>
      <c r="I746" s="8">
        <v>5184600</v>
      </c>
      <c r="J746" s="11"/>
    </row>
    <row r="747" spans="1:10" x14ac:dyDescent="0.2">
      <c r="A747" s="1" t="s">
        <v>249</v>
      </c>
      <c r="B747" s="6" t="str">
        <f t="shared" si="32"/>
        <v>40251</v>
      </c>
      <c r="C747" s="1" t="s">
        <v>8</v>
      </c>
      <c r="D747" s="1" t="s">
        <v>249</v>
      </c>
      <c r="E747" s="6" t="str">
        <f>"064"</f>
        <v>064</v>
      </c>
      <c r="F747" s="6">
        <v>2006</v>
      </c>
      <c r="G747" s="8">
        <v>19861100</v>
      </c>
      <c r="H747" s="8">
        <v>11751100</v>
      </c>
      <c r="I747" s="8">
        <v>8110000</v>
      </c>
      <c r="J747" s="11"/>
    </row>
    <row r="748" spans="1:10" x14ac:dyDescent="0.2">
      <c r="A748" s="1" t="s">
        <v>249</v>
      </c>
      <c r="B748" s="6" t="str">
        <f t="shared" si="32"/>
        <v>40251</v>
      </c>
      <c r="C748" s="1" t="s">
        <v>8</v>
      </c>
      <c r="D748" s="1" t="s">
        <v>249</v>
      </c>
      <c r="E748" s="6" t="str">
        <f>"067"</f>
        <v>067</v>
      </c>
      <c r="F748" s="6">
        <v>2007</v>
      </c>
      <c r="G748" s="8">
        <v>252693400</v>
      </c>
      <c r="H748" s="8">
        <v>9266900</v>
      </c>
      <c r="I748" s="8">
        <v>243426500</v>
      </c>
      <c r="J748" s="11"/>
    </row>
    <row r="749" spans="1:10" x14ac:dyDescent="0.2">
      <c r="A749" s="1" t="s">
        <v>249</v>
      </c>
      <c r="B749" s="6" t="str">
        <f t="shared" si="32"/>
        <v>40251</v>
      </c>
      <c r="C749" s="1" t="s">
        <v>8</v>
      </c>
      <c r="D749" s="1" t="s">
        <v>249</v>
      </c>
      <c r="E749" s="6" t="str">
        <f>"068"</f>
        <v>068</v>
      </c>
      <c r="F749" s="6">
        <v>2007</v>
      </c>
      <c r="G749" s="7">
        <v>133055000</v>
      </c>
      <c r="H749" s="7">
        <v>32607300</v>
      </c>
      <c r="I749" s="7">
        <v>100447700</v>
      </c>
    </row>
    <row r="750" spans="1:10" x14ac:dyDescent="0.2">
      <c r="A750" s="1" t="s">
        <v>249</v>
      </c>
      <c r="B750" s="6" t="str">
        <f t="shared" si="32"/>
        <v>40251</v>
      </c>
      <c r="C750" s="1" t="s">
        <v>8</v>
      </c>
      <c r="D750" s="1" t="s">
        <v>249</v>
      </c>
      <c r="E750" s="6" t="str">
        <f>"070"</f>
        <v>070</v>
      </c>
      <c r="F750" s="6">
        <v>2007</v>
      </c>
      <c r="G750" s="7">
        <v>35064400</v>
      </c>
      <c r="H750" s="7">
        <v>13775300</v>
      </c>
      <c r="I750" s="7">
        <v>21289100</v>
      </c>
    </row>
    <row r="751" spans="1:10" x14ac:dyDescent="0.2">
      <c r="A751" s="1" t="s">
        <v>249</v>
      </c>
      <c r="B751" s="6" t="str">
        <f t="shared" si="32"/>
        <v>40251</v>
      </c>
      <c r="C751" s="1" t="s">
        <v>8</v>
      </c>
      <c r="D751" s="1" t="s">
        <v>249</v>
      </c>
      <c r="E751" s="6" t="str">
        <f>"071"</f>
        <v>071</v>
      </c>
      <c r="F751" s="6">
        <v>2008</v>
      </c>
      <c r="G751" s="7">
        <v>110104700</v>
      </c>
      <c r="H751" s="7">
        <v>63310400</v>
      </c>
      <c r="I751" s="7">
        <v>46794300</v>
      </c>
    </row>
    <row r="752" spans="1:10" x14ac:dyDescent="0.2">
      <c r="A752" s="1" t="s">
        <v>249</v>
      </c>
      <c r="B752" s="6" t="str">
        <f t="shared" si="32"/>
        <v>40251</v>
      </c>
      <c r="C752" s="1" t="s">
        <v>8</v>
      </c>
      <c r="D752" s="1" t="s">
        <v>249</v>
      </c>
      <c r="E752" s="6" t="str">
        <f>"072"</f>
        <v>072</v>
      </c>
      <c r="F752" s="6">
        <v>2009</v>
      </c>
      <c r="G752" s="7">
        <v>45885200</v>
      </c>
      <c r="H752" s="7">
        <v>24380600</v>
      </c>
      <c r="I752" s="7">
        <v>21504600</v>
      </c>
    </row>
    <row r="753" spans="1:9" x14ac:dyDescent="0.2">
      <c r="A753" s="1" t="s">
        <v>249</v>
      </c>
      <c r="B753" s="6" t="str">
        <f t="shared" si="32"/>
        <v>40251</v>
      </c>
      <c r="C753" s="1" t="s">
        <v>8</v>
      </c>
      <c r="D753" s="1" t="s">
        <v>249</v>
      </c>
      <c r="E753" s="6" t="str">
        <f>"073"</f>
        <v>073</v>
      </c>
      <c r="F753" s="6">
        <v>2009</v>
      </c>
      <c r="G753" s="7">
        <v>10984400</v>
      </c>
      <c r="H753" s="7">
        <v>4285300</v>
      </c>
      <c r="I753" s="7">
        <v>6699100</v>
      </c>
    </row>
    <row r="754" spans="1:9" x14ac:dyDescent="0.2">
      <c r="A754" s="1" t="s">
        <v>249</v>
      </c>
      <c r="B754" s="6" t="str">
        <f t="shared" si="32"/>
        <v>40251</v>
      </c>
      <c r="C754" s="1" t="s">
        <v>8</v>
      </c>
      <c r="D754" s="1" t="s">
        <v>249</v>
      </c>
      <c r="E754" s="6" t="str">
        <f>"074"</f>
        <v>074</v>
      </c>
      <c r="F754" s="6">
        <v>2009</v>
      </c>
      <c r="G754" s="7">
        <v>109871400</v>
      </c>
      <c r="H754" s="7">
        <v>61076200</v>
      </c>
      <c r="I754" s="7">
        <v>48795200</v>
      </c>
    </row>
    <row r="755" spans="1:9" x14ac:dyDescent="0.2">
      <c r="A755" s="1" t="s">
        <v>249</v>
      </c>
      <c r="B755" s="6" t="str">
        <f t="shared" si="32"/>
        <v>40251</v>
      </c>
      <c r="C755" s="1" t="s">
        <v>8</v>
      </c>
      <c r="D755" s="1" t="s">
        <v>249</v>
      </c>
      <c r="E755" s="6" t="str">
        <f>"075"</f>
        <v>075</v>
      </c>
      <c r="F755" s="6">
        <v>2009</v>
      </c>
      <c r="G755" s="7">
        <v>343043000</v>
      </c>
      <c r="H755" s="7">
        <v>26317500</v>
      </c>
      <c r="I755" s="7">
        <v>316725500</v>
      </c>
    </row>
    <row r="756" spans="1:9" x14ac:dyDescent="0.2">
      <c r="A756" s="1" t="s">
        <v>249</v>
      </c>
      <c r="B756" s="6" t="str">
        <f t="shared" si="32"/>
        <v>40251</v>
      </c>
      <c r="C756" s="1" t="s">
        <v>8</v>
      </c>
      <c r="D756" s="1" t="s">
        <v>249</v>
      </c>
      <c r="E756" s="6" t="str">
        <f>"076"</f>
        <v>076</v>
      </c>
      <c r="F756" s="6">
        <v>2010</v>
      </c>
      <c r="G756" s="7">
        <v>24830200</v>
      </c>
      <c r="H756" s="7">
        <v>15342200</v>
      </c>
      <c r="I756" s="7">
        <v>9488000</v>
      </c>
    </row>
    <row r="757" spans="1:9" x14ac:dyDescent="0.2">
      <c r="A757" s="1" t="s">
        <v>249</v>
      </c>
      <c r="B757" s="6" t="str">
        <f t="shared" si="32"/>
        <v>40251</v>
      </c>
      <c r="C757" s="1" t="s">
        <v>8</v>
      </c>
      <c r="D757" s="1" t="s">
        <v>249</v>
      </c>
      <c r="E757" s="6" t="str">
        <f>"077"</f>
        <v>077</v>
      </c>
      <c r="F757" s="6">
        <v>2012</v>
      </c>
      <c r="G757" s="7">
        <v>9811700</v>
      </c>
      <c r="H757" s="7">
        <v>3368100</v>
      </c>
      <c r="I757" s="7">
        <v>6443600</v>
      </c>
    </row>
    <row r="758" spans="1:9" x14ac:dyDescent="0.2">
      <c r="A758" s="1" t="s">
        <v>249</v>
      </c>
      <c r="B758" s="6" t="str">
        <f t="shared" si="32"/>
        <v>40251</v>
      </c>
      <c r="C758" s="1" t="s">
        <v>8</v>
      </c>
      <c r="D758" s="1" t="s">
        <v>249</v>
      </c>
      <c r="E758" s="6" t="str">
        <f>"078"</f>
        <v>078</v>
      </c>
      <c r="F758" s="6">
        <v>2013</v>
      </c>
      <c r="G758" s="7">
        <v>414464100</v>
      </c>
      <c r="H758" s="7">
        <v>49588500</v>
      </c>
      <c r="I758" s="7">
        <v>364875600</v>
      </c>
    </row>
    <row r="759" spans="1:9" x14ac:dyDescent="0.2">
      <c r="A759" s="1" t="s">
        <v>249</v>
      </c>
      <c r="B759" s="6" t="str">
        <f t="shared" si="32"/>
        <v>40251</v>
      </c>
      <c r="C759" s="1" t="s">
        <v>8</v>
      </c>
      <c r="D759" s="1" t="s">
        <v>249</v>
      </c>
      <c r="E759" s="6" t="str">
        <f>"079"</f>
        <v>079</v>
      </c>
      <c r="F759" s="6">
        <v>2013</v>
      </c>
      <c r="G759" s="7">
        <v>117465100</v>
      </c>
      <c r="H759" s="7">
        <v>13718700</v>
      </c>
      <c r="I759" s="7">
        <v>103746400</v>
      </c>
    </row>
    <row r="760" spans="1:9" x14ac:dyDescent="0.2">
      <c r="A760" s="1" t="s">
        <v>249</v>
      </c>
      <c r="B760" s="6" t="str">
        <f t="shared" si="32"/>
        <v>40251</v>
      </c>
      <c r="C760" s="1" t="s">
        <v>8</v>
      </c>
      <c r="D760" s="1" t="s">
        <v>249</v>
      </c>
      <c r="E760" s="6" t="str">
        <f>"080"</f>
        <v>080</v>
      </c>
      <c r="F760" s="6">
        <v>2014</v>
      </c>
      <c r="G760" s="7">
        <v>20177400</v>
      </c>
      <c r="H760" s="7">
        <v>3237900</v>
      </c>
      <c r="I760" s="7">
        <v>16939500</v>
      </c>
    </row>
    <row r="761" spans="1:9" x14ac:dyDescent="0.2">
      <c r="A761" s="1" t="s">
        <v>249</v>
      </c>
      <c r="B761" s="6" t="str">
        <f t="shared" si="32"/>
        <v>40251</v>
      </c>
      <c r="C761" s="1" t="s">
        <v>8</v>
      </c>
      <c r="D761" s="1" t="s">
        <v>249</v>
      </c>
      <c r="E761" s="6" t="str">
        <f>"081"</f>
        <v>081</v>
      </c>
      <c r="F761" s="6">
        <v>2015</v>
      </c>
      <c r="G761" s="7">
        <v>34270900</v>
      </c>
      <c r="H761" s="7">
        <v>2689200</v>
      </c>
      <c r="I761" s="7">
        <v>31581700</v>
      </c>
    </row>
    <row r="762" spans="1:9" x14ac:dyDescent="0.2">
      <c r="A762" s="1" t="s">
        <v>249</v>
      </c>
      <c r="B762" s="6" t="str">
        <f t="shared" si="32"/>
        <v>40251</v>
      </c>
      <c r="C762" s="1" t="s">
        <v>8</v>
      </c>
      <c r="D762" s="1" t="s">
        <v>249</v>
      </c>
      <c r="E762" s="6" t="str">
        <f>"082"</f>
        <v>082</v>
      </c>
      <c r="F762" s="6">
        <v>2015</v>
      </c>
      <c r="G762" s="7">
        <v>266273200</v>
      </c>
      <c r="H762" s="7">
        <v>5474100</v>
      </c>
      <c r="I762" s="7">
        <v>260799100</v>
      </c>
    </row>
    <row r="763" spans="1:9" x14ac:dyDescent="0.2">
      <c r="A763" s="1" t="s">
        <v>249</v>
      </c>
      <c r="B763" s="6" t="str">
        <f t="shared" si="32"/>
        <v>40251</v>
      </c>
      <c r="C763" s="1" t="s">
        <v>8</v>
      </c>
      <c r="D763" s="1" t="s">
        <v>249</v>
      </c>
      <c r="E763" s="6" t="str">
        <f>"083"</f>
        <v>083</v>
      </c>
      <c r="F763" s="6">
        <v>2015</v>
      </c>
      <c r="G763" s="7">
        <v>68744000</v>
      </c>
      <c r="H763" s="7">
        <v>4876000</v>
      </c>
      <c r="I763" s="7">
        <v>63868000</v>
      </c>
    </row>
    <row r="764" spans="1:9" x14ac:dyDescent="0.2">
      <c r="A764" s="1" t="s">
        <v>249</v>
      </c>
      <c r="B764" s="6" t="str">
        <f t="shared" ref="B764:B799" si="33">"40251"</f>
        <v>40251</v>
      </c>
      <c r="C764" s="1" t="s">
        <v>8</v>
      </c>
      <c r="D764" s="1" t="s">
        <v>249</v>
      </c>
      <c r="E764" s="6" t="str">
        <f>"084"</f>
        <v>084</v>
      </c>
      <c r="F764" s="6">
        <v>2015</v>
      </c>
      <c r="G764" s="7">
        <v>266137300</v>
      </c>
      <c r="H764" s="7">
        <v>53231200</v>
      </c>
      <c r="I764" s="7">
        <v>212906100</v>
      </c>
    </row>
    <row r="765" spans="1:9" x14ac:dyDescent="0.2">
      <c r="A765" s="1" t="s">
        <v>249</v>
      </c>
      <c r="B765" s="6" t="str">
        <f t="shared" si="33"/>
        <v>40251</v>
      </c>
      <c r="C765" s="1" t="s">
        <v>8</v>
      </c>
      <c r="D765" s="1" t="s">
        <v>249</v>
      </c>
      <c r="E765" s="6" t="str">
        <f>"085"</f>
        <v>085</v>
      </c>
      <c r="F765" s="6">
        <v>2015</v>
      </c>
      <c r="G765" s="7">
        <v>111251000</v>
      </c>
      <c r="H765" s="7">
        <v>31096400</v>
      </c>
      <c r="I765" s="7">
        <v>80154600</v>
      </c>
    </row>
    <row r="766" spans="1:9" x14ac:dyDescent="0.2">
      <c r="A766" s="1" t="s">
        <v>249</v>
      </c>
      <c r="B766" s="6" t="str">
        <f t="shared" si="33"/>
        <v>40251</v>
      </c>
      <c r="C766" s="1" t="s">
        <v>8</v>
      </c>
      <c r="D766" s="1" t="s">
        <v>249</v>
      </c>
      <c r="E766" s="6" t="str">
        <f>"086"</f>
        <v>086</v>
      </c>
      <c r="F766" s="6">
        <v>2016</v>
      </c>
      <c r="G766" s="7">
        <v>6811500</v>
      </c>
      <c r="H766" s="7">
        <v>3240700</v>
      </c>
      <c r="I766" s="7">
        <v>3570800</v>
      </c>
    </row>
    <row r="767" spans="1:9" x14ac:dyDescent="0.2">
      <c r="A767" s="1" t="s">
        <v>249</v>
      </c>
      <c r="B767" s="6" t="str">
        <f t="shared" si="33"/>
        <v>40251</v>
      </c>
      <c r="C767" s="1" t="s">
        <v>8</v>
      </c>
      <c r="D767" s="1" t="s">
        <v>249</v>
      </c>
      <c r="E767" s="6" t="str">
        <f>"087"</f>
        <v>087</v>
      </c>
      <c r="F767" s="6">
        <v>2016</v>
      </c>
      <c r="G767" s="7">
        <v>3885100</v>
      </c>
      <c r="H767" s="7">
        <v>229000</v>
      </c>
      <c r="I767" s="7">
        <v>3656100</v>
      </c>
    </row>
    <row r="768" spans="1:9" x14ac:dyDescent="0.2">
      <c r="A768" s="1" t="s">
        <v>249</v>
      </c>
      <c r="B768" s="6" t="str">
        <f t="shared" si="33"/>
        <v>40251</v>
      </c>
      <c r="C768" s="1" t="s">
        <v>8</v>
      </c>
      <c r="D768" s="1" t="s">
        <v>249</v>
      </c>
      <c r="E768" s="6" t="str">
        <f>"089"</f>
        <v>089</v>
      </c>
      <c r="F768" s="6">
        <v>2017</v>
      </c>
      <c r="G768" s="7">
        <v>3920000</v>
      </c>
      <c r="H768" s="7">
        <v>0</v>
      </c>
      <c r="I768" s="7">
        <v>3920000</v>
      </c>
    </row>
    <row r="769" spans="1:9" x14ac:dyDescent="0.2">
      <c r="A769" s="1" t="s">
        <v>249</v>
      </c>
      <c r="B769" s="6" t="str">
        <f t="shared" si="33"/>
        <v>40251</v>
      </c>
      <c r="C769" s="1" t="s">
        <v>8</v>
      </c>
      <c r="D769" s="1" t="s">
        <v>249</v>
      </c>
      <c r="E769" s="6" t="str">
        <f>"090"</f>
        <v>090</v>
      </c>
      <c r="F769" s="6">
        <v>2017</v>
      </c>
      <c r="G769" s="7">
        <v>2550300</v>
      </c>
      <c r="H769" s="7">
        <v>276600</v>
      </c>
      <c r="I769" s="7">
        <v>2273700</v>
      </c>
    </row>
    <row r="770" spans="1:9" x14ac:dyDescent="0.2">
      <c r="A770" s="1" t="s">
        <v>249</v>
      </c>
      <c r="B770" s="6" t="str">
        <f t="shared" si="33"/>
        <v>40251</v>
      </c>
      <c r="C770" s="1" t="s">
        <v>8</v>
      </c>
      <c r="D770" s="1" t="s">
        <v>249</v>
      </c>
      <c r="E770" s="6" t="str">
        <f>"091"</f>
        <v>091</v>
      </c>
      <c r="F770" s="6">
        <v>2017</v>
      </c>
      <c r="G770" s="7">
        <v>59275700</v>
      </c>
      <c r="H770" s="7">
        <v>58921600</v>
      </c>
      <c r="I770" s="7">
        <v>354100</v>
      </c>
    </row>
    <row r="771" spans="1:9" x14ac:dyDescent="0.2">
      <c r="A771" s="1" t="s">
        <v>249</v>
      </c>
      <c r="B771" s="6" t="str">
        <f t="shared" si="33"/>
        <v>40251</v>
      </c>
      <c r="C771" s="1" t="s">
        <v>8</v>
      </c>
      <c r="D771" s="1" t="s">
        <v>249</v>
      </c>
      <c r="E771" s="6" t="str">
        <f>"092"</f>
        <v>092</v>
      </c>
      <c r="F771" s="6">
        <v>2017</v>
      </c>
      <c r="G771" s="7">
        <v>5015600</v>
      </c>
      <c r="H771" s="7">
        <v>1007800</v>
      </c>
      <c r="I771" s="7">
        <v>4007800</v>
      </c>
    </row>
    <row r="772" spans="1:9" x14ac:dyDescent="0.2">
      <c r="A772" s="1" t="s">
        <v>249</v>
      </c>
      <c r="B772" s="6" t="str">
        <f t="shared" si="33"/>
        <v>40251</v>
      </c>
      <c r="C772" s="1" t="s">
        <v>8</v>
      </c>
      <c r="D772" s="1" t="s">
        <v>249</v>
      </c>
      <c r="E772" s="6" t="str">
        <f>"093"</f>
        <v>093</v>
      </c>
      <c r="F772" s="6">
        <v>2018</v>
      </c>
      <c r="G772" s="7">
        <v>3371400</v>
      </c>
      <c r="H772" s="7">
        <v>756900</v>
      </c>
      <c r="I772" s="7">
        <v>2614500</v>
      </c>
    </row>
    <row r="773" spans="1:9" x14ac:dyDescent="0.2">
      <c r="A773" s="1" t="s">
        <v>249</v>
      </c>
      <c r="B773" s="6" t="str">
        <f t="shared" si="33"/>
        <v>40251</v>
      </c>
      <c r="C773" s="1" t="s">
        <v>8</v>
      </c>
      <c r="D773" s="1" t="s">
        <v>249</v>
      </c>
      <c r="E773" s="6" t="str">
        <f>"094"</f>
        <v>094</v>
      </c>
      <c r="F773" s="6">
        <v>2019</v>
      </c>
      <c r="G773" s="7">
        <v>98170700</v>
      </c>
      <c r="H773" s="7">
        <v>5468400</v>
      </c>
      <c r="I773" s="7">
        <v>92702300</v>
      </c>
    </row>
    <row r="774" spans="1:9" x14ac:dyDescent="0.2">
      <c r="A774" s="1" t="s">
        <v>249</v>
      </c>
      <c r="B774" s="6" t="str">
        <f t="shared" si="33"/>
        <v>40251</v>
      </c>
      <c r="C774" s="1" t="s">
        <v>8</v>
      </c>
      <c r="D774" s="1" t="s">
        <v>249</v>
      </c>
      <c r="E774" s="6" t="str">
        <f>"095"</f>
        <v>095</v>
      </c>
      <c r="F774" s="6">
        <v>2019</v>
      </c>
      <c r="G774" s="7">
        <v>2083000</v>
      </c>
      <c r="H774" s="7">
        <v>88600</v>
      </c>
      <c r="I774" s="7">
        <v>1994400</v>
      </c>
    </row>
    <row r="775" spans="1:9" x14ac:dyDescent="0.2">
      <c r="A775" s="1" t="s">
        <v>249</v>
      </c>
      <c r="B775" s="6" t="str">
        <f t="shared" si="33"/>
        <v>40251</v>
      </c>
      <c r="C775" s="1" t="s">
        <v>8</v>
      </c>
      <c r="D775" s="1" t="s">
        <v>249</v>
      </c>
      <c r="E775" s="6" t="str">
        <f>"096"</f>
        <v>096</v>
      </c>
      <c r="F775" s="6">
        <v>2019</v>
      </c>
      <c r="G775" s="7">
        <v>170924500</v>
      </c>
      <c r="H775" s="7">
        <v>3810100</v>
      </c>
      <c r="I775" s="7">
        <v>167114400</v>
      </c>
    </row>
    <row r="776" spans="1:9" x14ac:dyDescent="0.2">
      <c r="A776" s="1" t="s">
        <v>249</v>
      </c>
      <c r="B776" s="6" t="str">
        <f t="shared" si="33"/>
        <v>40251</v>
      </c>
      <c r="C776" s="1" t="s">
        <v>8</v>
      </c>
      <c r="D776" s="1" t="s">
        <v>249</v>
      </c>
      <c r="E776" s="6" t="str">
        <f>"097"</f>
        <v>097</v>
      </c>
      <c r="F776" s="6">
        <v>2019</v>
      </c>
      <c r="G776" s="7">
        <v>86901600</v>
      </c>
      <c r="H776" s="7">
        <v>36238200</v>
      </c>
      <c r="I776" s="7">
        <v>50663400</v>
      </c>
    </row>
    <row r="777" spans="1:9" x14ac:dyDescent="0.2">
      <c r="A777" s="1" t="s">
        <v>249</v>
      </c>
      <c r="B777" s="6" t="str">
        <f t="shared" si="33"/>
        <v>40251</v>
      </c>
      <c r="C777" s="1" t="s">
        <v>8</v>
      </c>
      <c r="D777" s="1" t="s">
        <v>249</v>
      </c>
      <c r="E777" s="6" t="str">
        <f>"098"</f>
        <v>098</v>
      </c>
      <c r="F777" s="6">
        <v>2019</v>
      </c>
      <c r="G777" s="7">
        <v>423500</v>
      </c>
      <c r="H777" s="7">
        <v>1482800</v>
      </c>
      <c r="I777" s="7">
        <v>-1059300</v>
      </c>
    </row>
    <row r="778" spans="1:9" x14ac:dyDescent="0.2">
      <c r="A778" s="1" t="s">
        <v>249</v>
      </c>
      <c r="B778" s="6" t="str">
        <f t="shared" si="33"/>
        <v>40251</v>
      </c>
      <c r="C778" s="1" t="s">
        <v>8</v>
      </c>
      <c r="D778" s="1" t="s">
        <v>249</v>
      </c>
      <c r="E778" s="6" t="str">
        <f>"099"</f>
        <v>099</v>
      </c>
      <c r="F778" s="6">
        <v>2019</v>
      </c>
      <c r="G778" s="7">
        <v>19305500</v>
      </c>
      <c r="H778" s="7">
        <v>393400</v>
      </c>
      <c r="I778" s="7">
        <v>18912100</v>
      </c>
    </row>
    <row r="779" spans="1:9" x14ac:dyDescent="0.2">
      <c r="A779" s="1" t="s">
        <v>249</v>
      </c>
      <c r="B779" s="6" t="str">
        <f t="shared" si="33"/>
        <v>40251</v>
      </c>
      <c r="C779" s="1" t="s">
        <v>8</v>
      </c>
      <c r="D779" s="1" t="s">
        <v>249</v>
      </c>
      <c r="E779" s="6" t="str">
        <f>"100"</f>
        <v>100</v>
      </c>
      <c r="F779" s="6">
        <v>2019</v>
      </c>
      <c r="G779" s="7">
        <v>33512900</v>
      </c>
      <c r="H779" s="7">
        <v>2068000</v>
      </c>
      <c r="I779" s="7">
        <v>31444900</v>
      </c>
    </row>
    <row r="780" spans="1:9" x14ac:dyDescent="0.2">
      <c r="A780" s="1" t="s">
        <v>249</v>
      </c>
      <c r="B780" s="6" t="str">
        <f t="shared" si="33"/>
        <v>40251</v>
      </c>
      <c r="C780" s="1" t="s">
        <v>8</v>
      </c>
      <c r="D780" s="1" t="s">
        <v>249</v>
      </c>
      <c r="E780" s="6" t="str">
        <f>"102"</f>
        <v>102</v>
      </c>
      <c r="F780" s="6">
        <v>2020</v>
      </c>
      <c r="G780" s="7">
        <v>31897600</v>
      </c>
      <c r="H780" s="7">
        <v>3723400</v>
      </c>
      <c r="I780" s="7">
        <v>28174200</v>
      </c>
    </row>
    <row r="781" spans="1:9" x14ac:dyDescent="0.2">
      <c r="A781" s="1" t="s">
        <v>249</v>
      </c>
      <c r="B781" s="6" t="str">
        <f t="shared" si="33"/>
        <v>40251</v>
      </c>
      <c r="C781" s="1" t="s">
        <v>8</v>
      </c>
      <c r="D781" s="1" t="s">
        <v>249</v>
      </c>
      <c r="E781" s="6" t="str">
        <f>"103"</f>
        <v>103</v>
      </c>
      <c r="F781" s="6">
        <v>2020</v>
      </c>
      <c r="G781" s="7">
        <v>4383600</v>
      </c>
      <c r="H781" s="7">
        <v>0</v>
      </c>
      <c r="I781" s="7">
        <v>4383600</v>
      </c>
    </row>
    <row r="782" spans="1:9" x14ac:dyDescent="0.2">
      <c r="A782" s="1" t="s">
        <v>249</v>
      </c>
      <c r="B782" s="6" t="str">
        <f t="shared" si="33"/>
        <v>40251</v>
      </c>
      <c r="C782" s="1" t="s">
        <v>8</v>
      </c>
      <c r="D782" s="1" t="s">
        <v>249</v>
      </c>
      <c r="E782" s="6" t="str">
        <f>"104"</f>
        <v>104</v>
      </c>
      <c r="F782" s="6">
        <v>2020</v>
      </c>
      <c r="G782" s="7">
        <v>1950800</v>
      </c>
      <c r="H782" s="7">
        <v>0</v>
      </c>
      <c r="I782" s="7">
        <v>1950800</v>
      </c>
    </row>
    <row r="783" spans="1:9" x14ac:dyDescent="0.2">
      <c r="A783" s="1" t="s">
        <v>249</v>
      </c>
      <c r="B783" s="6" t="str">
        <f t="shared" si="33"/>
        <v>40251</v>
      </c>
      <c r="C783" s="1" t="s">
        <v>8</v>
      </c>
      <c r="D783" s="1" t="s">
        <v>249</v>
      </c>
      <c r="E783" s="6" t="str">
        <f>"105"</f>
        <v>105</v>
      </c>
      <c r="F783" s="6">
        <v>2020</v>
      </c>
      <c r="G783" s="7">
        <v>6067500</v>
      </c>
      <c r="H783" s="7">
        <v>1279900</v>
      </c>
      <c r="I783" s="7">
        <v>4787600</v>
      </c>
    </row>
    <row r="784" spans="1:9" x14ac:dyDescent="0.2">
      <c r="A784" s="1" t="s">
        <v>249</v>
      </c>
      <c r="B784" s="6" t="str">
        <f t="shared" si="33"/>
        <v>40251</v>
      </c>
      <c r="C784" s="1" t="s">
        <v>8</v>
      </c>
      <c r="D784" s="1" t="s">
        <v>249</v>
      </c>
      <c r="E784" s="6" t="str">
        <f>"106"</f>
        <v>106</v>
      </c>
      <c r="F784" s="6">
        <v>2020</v>
      </c>
      <c r="G784" s="7">
        <v>4248200</v>
      </c>
      <c r="H784" s="7">
        <v>0</v>
      </c>
      <c r="I784" s="7">
        <v>4248200</v>
      </c>
    </row>
    <row r="785" spans="1:9" x14ac:dyDescent="0.2">
      <c r="A785" s="1" t="s">
        <v>249</v>
      </c>
      <c r="B785" s="6" t="str">
        <f t="shared" si="33"/>
        <v>40251</v>
      </c>
      <c r="C785" s="1" t="s">
        <v>8</v>
      </c>
      <c r="D785" s="1" t="s">
        <v>249</v>
      </c>
      <c r="E785" s="6" t="str">
        <f>"107"</f>
        <v>107</v>
      </c>
      <c r="F785" s="6">
        <v>2021</v>
      </c>
      <c r="G785" s="7">
        <v>3425200</v>
      </c>
      <c r="H785" s="7">
        <v>0</v>
      </c>
      <c r="I785" s="7">
        <v>3425200</v>
      </c>
    </row>
    <row r="786" spans="1:9" x14ac:dyDescent="0.2">
      <c r="A786" s="1" t="s">
        <v>249</v>
      </c>
      <c r="B786" s="6" t="str">
        <f t="shared" si="33"/>
        <v>40251</v>
      </c>
      <c r="C786" s="1" t="s">
        <v>8</v>
      </c>
      <c r="D786" s="1" t="s">
        <v>249</v>
      </c>
      <c r="E786" s="6" t="str">
        <f>"108"</f>
        <v>108</v>
      </c>
      <c r="F786" s="6">
        <v>2021</v>
      </c>
      <c r="G786" s="7">
        <v>110680800</v>
      </c>
      <c r="H786" s="7">
        <v>4416500</v>
      </c>
      <c r="I786" s="7">
        <v>106264300</v>
      </c>
    </row>
    <row r="787" spans="1:9" x14ac:dyDescent="0.2">
      <c r="A787" s="1" t="s">
        <v>249</v>
      </c>
      <c r="B787" s="6" t="str">
        <f t="shared" si="33"/>
        <v>40251</v>
      </c>
      <c r="C787" s="1" t="s">
        <v>8</v>
      </c>
      <c r="D787" s="1" t="s">
        <v>249</v>
      </c>
      <c r="E787" s="6" t="str">
        <f>"109"</f>
        <v>109</v>
      </c>
      <c r="F787" s="6">
        <v>2022</v>
      </c>
      <c r="G787" s="7">
        <v>7679500</v>
      </c>
      <c r="H787" s="7">
        <v>402700</v>
      </c>
      <c r="I787" s="7">
        <v>7276800</v>
      </c>
    </row>
    <row r="788" spans="1:9" x14ac:dyDescent="0.2">
      <c r="A788" s="1" t="s">
        <v>249</v>
      </c>
      <c r="B788" s="6" t="str">
        <f t="shared" si="33"/>
        <v>40251</v>
      </c>
      <c r="C788" s="1" t="s">
        <v>8</v>
      </c>
      <c r="D788" s="1" t="s">
        <v>249</v>
      </c>
      <c r="E788" s="6" t="str">
        <f>"110"</f>
        <v>110</v>
      </c>
      <c r="F788" s="6">
        <v>2023</v>
      </c>
      <c r="G788" s="7">
        <v>44133800</v>
      </c>
      <c r="H788" s="7">
        <v>35570700</v>
      </c>
      <c r="I788" s="7">
        <v>8563100</v>
      </c>
    </row>
    <row r="789" spans="1:9" x14ac:dyDescent="0.2">
      <c r="A789" s="1" t="s">
        <v>249</v>
      </c>
      <c r="B789" s="6" t="str">
        <f t="shared" si="33"/>
        <v>40251</v>
      </c>
      <c r="C789" s="1" t="s">
        <v>8</v>
      </c>
      <c r="D789" s="1" t="s">
        <v>249</v>
      </c>
      <c r="E789" s="6" t="str">
        <f>"111"</f>
        <v>111</v>
      </c>
      <c r="F789" s="6">
        <v>2023</v>
      </c>
      <c r="G789" s="7">
        <v>5814800</v>
      </c>
      <c r="H789" s="7">
        <v>4655500</v>
      </c>
      <c r="I789" s="7">
        <v>1159300</v>
      </c>
    </row>
    <row r="790" spans="1:9" x14ac:dyDescent="0.2">
      <c r="A790" s="1" t="s">
        <v>249</v>
      </c>
      <c r="B790" s="6" t="str">
        <f t="shared" si="33"/>
        <v>40251</v>
      </c>
      <c r="C790" s="1" t="s">
        <v>8</v>
      </c>
      <c r="D790" s="1" t="s">
        <v>249</v>
      </c>
      <c r="E790" s="6" t="str">
        <f>"112"</f>
        <v>112</v>
      </c>
      <c r="F790" s="6">
        <v>2023</v>
      </c>
      <c r="G790" s="7">
        <v>13529700</v>
      </c>
      <c r="H790" s="7">
        <v>614400</v>
      </c>
      <c r="I790" s="7">
        <v>12915300</v>
      </c>
    </row>
    <row r="791" spans="1:9" x14ac:dyDescent="0.2">
      <c r="A791" s="1" t="s">
        <v>249</v>
      </c>
      <c r="B791" s="6" t="str">
        <f t="shared" si="33"/>
        <v>40251</v>
      </c>
      <c r="C791" s="1" t="s">
        <v>8</v>
      </c>
      <c r="D791" s="1" t="s">
        <v>249</v>
      </c>
      <c r="E791" s="6" t="str">
        <f>"113"</f>
        <v>113</v>
      </c>
      <c r="F791" s="6">
        <v>2023</v>
      </c>
      <c r="G791" s="7">
        <v>2605600</v>
      </c>
      <c r="H791" s="7">
        <v>0</v>
      </c>
      <c r="I791" s="7">
        <v>2605600</v>
      </c>
    </row>
    <row r="792" spans="1:9" x14ac:dyDescent="0.2">
      <c r="A792" s="1" t="s">
        <v>249</v>
      </c>
      <c r="B792" s="6" t="str">
        <f t="shared" si="33"/>
        <v>40251</v>
      </c>
      <c r="C792" s="1" t="s">
        <v>8</v>
      </c>
      <c r="D792" s="1" t="s">
        <v>249</v>
      </c>
      <c r="E792" s="6" t="str">
        <f>"114"</f>
        <v>114</v>
      </c>
      <c r="F792" s="6">
        <v>2023</v>
      </c>
      <c r="G792" s="7">
        <v>1521300</v>
      </c>
      <c r="H792" s="7">
        <v>0</v>
      </c>
      <c r="I792" s="7">
        <v>1521300</v>
      </c>
    </row>
    <row r="793" spans="1:9" x14ac:dyDescent="0.2">
      <c r="A793" s="1" t="s">
        <v>249</v>
      </c>
      <c r="B793" s="6" t="str">
        <f t="shared" si="33"/>
        <v>40251</v>
      </c>
      <c r="C793" s="1" t="s">
        <v>8</v>
      </c>
      <c r="D793" s="1" t="s">
        <v>249</v>
      </c>
      <c r="E793" s="6" t="str">
        <f>"115"</f>
        <v>115</v>
      </c>
      <c r="F793" s="6">
        <v>2023</v>
      </c>
      <c r="G793" s="7">
        <v>62559800</v>
      </c>
      <c r="H793" s="7">
        <v>86268800</v>
      </c>
      <c r="I793" s="7">
        <v>-23709000</v>
      </c>
    </row>
    <row r="794" spans="1:9" x14ac:dyDescent="0.2">
      <c r="A794" s="1" t="s">
        <v>249</v>
      </c>
      <c r="B794" s="6" t="str">
        <f t="shared" si="33"/>
        <v>40251</v>
      </c>
      <c r="C794" s="1" t="s">
        <v>8</v>
      </c>
      <c r="D794" s="1" t="s">
        <v>249</v>
      </c>
      <c r="E794" s="6" t="str">
        <f>"116"</f>
        <v>116</v>
      </c>
      <c r="F794" s="6">
        <v>2023</v>
      </c>
      <c r="G794" s="7">
        <v>6638800</v>
      </c>
      <c r="H794" s="7">
        <v>209800</v>
      </c>
      <c r="I794" s="7">
        <v>6429000</v>
      </c>
    </row>
    <row r="795" spans="1:9" x14ac:dyDescent="0.2">
      <c r="A795" s="1" t="s">
        <v>249</v>
      </c>
      <c r="B795" s="6" t="str">
        <f t="shared" si="33"/>
        <v>40251</v>
      </c>
      <c r="C795" s="1" t="s">
        <v>8</v>
      </c>
      <c r="D795" s="1" t="s">
        <v>249</v>
      </c>
      <c r="E795" s="6" t="str">
        <f>"117"</f>
        <v>117</v>
      </c>
      <c r="F795" s="6">
        <v>2023</v>
      </c>
      <c r="G795" s="7">
        <v>7427800</v>
      </c>
      <c r="H795" s="7">
        <v>1572400</v>
      </c>
      <c r="I795" s="7">
        <v>5855400</v>
      </c>
    </row>
    <row r="796" spans="1:9" x14ac:dyDescent="0.2">
      <c r="A796" s="1" t="s">
        <v>249</v>
      </c>
      <c r="B796" s="6" t="str">
        <f t="shared" si="33"/>
        <v>40251</v>
      </c>
      <c r="C796" s="1" t="s">
        <v>8</v>
      </c>
      <c r="D796" s="1" t="s">
        <v>249</v>
      </c>
      <c r="E796" s="6" t="str">
        <f>"118"</f>
        <v>118</v>
      </c>
      <c r="F796" s="6">
        <v>2024</v>
      </c>
      <c r="G796" s="7">
        <v>1400000</v>
      </c>
      <c r="H796" s="7">
        <v>1066100</v>
      </c>
      <c r="I796" s="7">
        <v>333900</v>
      </c>
    </row>
    <row r="797" spans="1:9" x14ac:dyDescent="0.2">
      <c r="A797" s="1" t="s">
        <v>249</v>
      </c>
      <c r="B797" s="6" t="str">
        <f t="shared" si="33"/>
        <v>40251</v>
      </c>
      <c r="C797" s="1" t="s">
        <v>8</v>
      </c>
      <c r="D797" s="1" t="s">
        <v>249</v>
      </c>
      <c r="E797" s="6" t="str">
        <f>"119"</f>
        <v>119</v>
      </c>
      <c r="F797" s="6">
        <v>2024</v>
      </c>
      <c r="G797" s="7">
        <v>8630800</v>
      </c>
      <c r="H797" s="7">
        <v>4809400</v>
      </c>
      <c r="I797" s="7">
        <v>3821400</v>
      </c>
    </row>
    <row r="798" spans="1:9" x14ac:dyDescent="0.2">
      <c r="A798" s="1" t="s">
        <v>249</v>
      </c>
      <c r="B798" s="6" t="str">
        <f t="shared" si="33"/>
        <v>40251</v>
      </c>
      <c r="C798" s="1" t="s">
        <v>8</v>
      </c>
      <c r="D798" s="1" t="s">
        <v>249</v>
      </c>
      <c r="E798" s="6" t="str">
        <f>"120"</f>
        <v>120</v>
      </c>
      <c r="F798" s="6">
        <v>2024</v>
      </c>
      <c r="G798" s="7">
        <v>0</v>
      </c>
      <c r="H798" s="7">
        <v>0</v>
      </c>
      <c r="I798" s="7">
        <v>0</v>
      </c>
    </row>
    <row r="799" spans="1:9" x14ac:dyDescent="0.2">
      <c r="A799" s="1" t="s">
        <v>249</v>
      </c>
      <c r="B799" s="6" t="str">
        <f t="shared" si="33"/>
        <v>40251</v>
      </c>
      <c r="C799" s="1" t="s">
        <v>8</v>
      </c>
      <c r="D799" s="1" t="s">
        <v>249</v>
      </c>
      <c r="E799" s="6" t="str">
        <f>"121"</f>
        <v>121</v>
      </c>
      <c r="F799" s="6">
        <v>2024</v>
      </c>
      <c r="G799" s="7">
        <v>992900</v>
      </c>
      <c r="H799" s="7">
        <v>0</v>
      </c>
      <c r="I799" s="7">
        <v>992900</v>
      </c>
    </row>
    <row r="800" spans="1:9" x14ac:dyDescent="0.2">
      <c r="A800" s="1" t="s">
        <v>249</v>
      </c>
      <c r="B800" s="6" t="str">
        <f t="shared" ref="B800:B807" si="34">"40265"</f>
        <v>40265</v>
      </c>
      <c r="C800" s="1" t="s">
        <v>8</v>
      </c>
      <c r="D800" s="1" t="s">
        <v>262</v>
      </c>
      <c r="E800" s="6" t="str">
        <f>"008"</f>
        <v>008</v>
      </c>
      <c r="F800" s="6">
        <v>2009</v>
      </c>
      <c r="G800" s="7">
        <v>174351900</v>
      </c>
      <c r="H800" s="7">
        <v>22103700</v>
      </c>
      <c r="I800" s="7">
        <v>152248200</v>
      </c>
    </row>
    <row r="801" spans="1:9" x14ac:dyDescent="0.2">
      <c r="A801" s="1" t="s">
        <v>249</v>
      </c>
      <c r="B801" s="6" t="str">
        <f t="shared" si="34"/>
        <v>40265</v>
      </c>
      <c r="C801" s="1" t="s">
        <v>8</v>
      </c>
      <c r="D801" s="1" t="s">
        <v>262</v>
      </c>
      <c r="E801" s="6" t="str">
        <f>"010"</f>
        <v>010</v>
      </c>
      <c r="F801" s="6">
        <v>2010</v>
      </c>
      <c r="G801" s="7">
        <v>43531700</v>
      </c>
      <c r="H801" s="7">
        <v>18068100</v>
      </c>
      <c r="I801" s="7">
        <v>25463600</v>
      </c>
    </row>
    <row r="802" spans="1:9" x14ac:dyDescent="0.2">
      <c r="A802" s="1" t="s">
        <v>249</v>
      </c>
      <c r="B802" s="6" t="str">
        <f t="shared" si="34"/>
        <v>40265</v>
      </c>
      <c r="C802" s="1" t="s">
        <v>8</v>
      </c>
      <c r="D802" s="1" t="s">
        <v>262</v>
      </c>
      <c r="E802" s="6" t="str">
        <f>"011"</f>
        <v>011</v>
      </c>
      <c r="F802" s="6">
        <v>2012</v>
      </c>
      <c r="G802" s="7">
        <v>244131600</v>
      </c>
      <c r="H802" s="7">
        <v>12738500</v>
      </c>
      <c r="I802" s="7">
        <v>231393100</v>
      </c>
    </row>
    <row r="803" spans="1:9" x14ac:dyDescent="0.2">
      <c r="A803" s="1" t="s">
        <v>249</v>
      </c>
      <c r="B803" s="6" t="str">
        <f t="shared" si="34"/>
        <v>40265</v>
      </c>
      <c r="C803" s="1" t="s">
        <v>8</v>
      </c>
      <c r="D803" s="1" t="s">
        <v>262</v>
      </c>
      <c r="E803" s="6" t="str">
        <f>"012"</f>
        <v>012</v>
      </c>
      <c r="F803" s="6">
        <v>2016</v>
      </c>
      <c r="G803" s="7">
        <v>174667800</v>
      </c>
      <c r="H803" s="7">
        <v>3738200</v>
      </c>
      <c r="I803" s="7">
        <v>170929600</v>
      </c>
    </row>
    <row r="804" spans="1:9" x14ac:dyDescent="0.2">
      <c r="A804" s="1" t="s">
        <v>249</v>
      </c>
      <c r="B804" s="6" t="str">
        <f t="shared" si="34"/>
        <v>40265</v>
      </c>
      <c r="C804" s="1" t="s">
        <v>8</v>
      </c>
      <c r="D804" s="1" t="s">
        <v>262</v>
      </c>
      <c r="E804" s="6" t="str">
        <f>"013"</f>
        <v>013</v>
      </c>
      <c r="F804" s="6">
        <v>2017</v>
      </c>
      <c r="G804" s="7">
        <v>75579000</v>
      </c>
      <c r="H804" s="7">
        <v>4703500</v>
      </c>
      <c r="I804" s="7">
        <v>70875500</v>
      </c>
    </row>
    <row r="805" spans="1:9" x14ac:dyDescent="0.2">
      <c r="A805" s="1" t="s">
        <v>249</v>
      </c>
      <c r="B805" s="6" t="str">
        <f t="shared" si="34"/>
        <v>40265</v>
      </c>
      <c r="C805" s="1" t="s">
        <v>8</v>
      </c>
      <c r="D805" s="1" t="s">
        <v>262</v>
      </c>
      <c r="E805" s="6" t="str">
        <f>"014"</f>
        <v>014</v>
      </c>
      <c r="F805" s="6">
        <v>2018</v>
      </c>
      <c r="G805" s="7">
        <v>11896500</v>
      </c>
      <c r="H805" s="7">
        <v>641300</v>
      </c>
      <c r="I805" s="7">
        <v>11255200</v>
      </c>
    </row>
    <row r="806" spans="1:9" x14ac:dyDescent="0.2">
      <c r="A806" s="1" t="s">
        <v>249</v>
      </c>
      <c r="B806" s="6" t="str">
        <f t="shared" si="34"/>
        <v>40265</v>
      </c>
      <c r="C806" s="1" t="s">
        <v>8</v>
      </c>
      <c r="D806" s="1" t="s">
        <v>262</v>
      </c>
      <c r="E806" s="6" t="str">
        <f>"015"</f>
        <v>015</v>
      </c>
      <c r="F806" s="6">
        <v>2018</v>
      </c>
      <c r="G806" s="7">
        <v>8839800</v>
      </c>
      <c r="H806" s="7">
        <v>1899900</v>
      </c>
      <c r="I806" s="7">
        <v>6939900</v>
      </c>
    </row>
    <row r="807" spans="1:9" x14ac:dyDescent="0.2">
      <c r="A807" s="1" t="s">
        <v>249</v>
      </c>
      <c r="B807" s="6" t="str">
        <f t="shared" si="34"/>
        <v>40265</v>
      </c>
      <c r="C807" s="1" t="s">
        <v>8</v>
      </c>
      <c r="D807" s="1" t="s">
        <v>262</v>
      </c>
      <c r="E807" s="6" t="str">
        <f>"016"</f>
        <v>016</v>
      </c>
      <c r="F807" s="6">
        <v>2018</v>
      </c>
      <c r="G807" s="7">
        <v>178204800</v>
      </c>
      <c r="H807" s="7">
        <v>1549200</v>
      </c>
      <c r="I807" s="7">
        <v>176655600</v>
      </c>
    </row>
    <row r="808" spans="1:9" x14ac:dyDescent="0.2">
      <c r="A808" s="1" t="s">
        <v>249</v>
      </c>
      <c r="B808" s="6" t="str">
        <f>"40281"</f>
        <v>40281</v>
      </c>
      <c r="C808" s="1" t="s">
        <v>8</v>
      </c>
      <c r="D808" s="1" t="s">
        <v>263</v>
      </c>
      <c r="E808" s="6" t="str">
        <f>"003"</f>
        <v>003</v>
      </c>
      <c r="F808" s="6">
        <v>2006</v>
      </c>
      <c r="G808" s="7">
        <v>72558900</v>
      </c>
      <c r="H808" s="7">
        <v>56131300</v>
      </c>
      <c r="I808" s="7">
        <v>16427600</v>
      </c>
    </row>
    <row r="809" spans="1:9" x14ac:dyDescent="0.2">
      <c r="A809" s="1" t="s">
        <v>249</v>
      </c>
      <c r="B809" s="6" t="str">
        <f>"40281"</f>
        <v>40281</v>
      </c>
      <c r="C809" s="1" t="s">
        <v>8</v>
      </c>
      <c r="D809" s="1" t="s">
        <v>263</v>
      </c>
      <c r="E809" s="6" t="str">
        <f>"004"</f>
        <v>004</v>
      </c>
      <c r="F809" s="6">
        <v>2012</v>
      </c>
      <c r="G809" s="7">
        <v>65831800</v>
      </c>
      <c r="H809" s="7">
        <v>43597900</v>
      </c>
      <c r="I809" s="7">
        <v>22233900</v>
      </c>
    </row>
    <row r="810" spans="1:9" x14ac:dyDescent="0.2">
      <c r="A810" s="1" t="s">
        <v>249</v>
      </c>
      <c r="B810" s="6" t="str">
        <f>"40281"</f>
        <v>40281</v>
      </c>
      <c r="C810" s="1" t="s">
        <v>8</v>
      </c>
      <c r="D810" s="1" t="s">
        <v>263</v>
      </c>
      <c r="E810" s="6" t="str">
        <f>"005"</f>
        <v>005</v>
      </c>
      <c r="F810" s="6">
        <v>2015</v>
      </c>
      <c r="G810" s="7">
        <v>224135300</v>
      </c>
      <c r="H810" s="7">
        <v>80881500</v>
      </c>
      <c r="I810" s="7">
        <v>143253800</v>
      </c>
    </row>
    <row r="811" spans="1:9" x14ac:dyDescent="0.2">
      <c r="A811" s="1" t="s">
        <v>249</v>
      </c>
      <c r="B811" s="6" t="str">
        <f>"40282"</f>
        <v>40282</v>
      </c>
      <c r="C811" s="1" t="s">
        <v>8</v>
      </c>
      <c r="D811" s="1" t="s">
        <v>264</v>
      </c>
      <c r="E811" s="6" t="str">
        <f>"001"</f>
        <v>001</v>
      </c>
      <c r="F811" s="6">
        <v>2000</v>
      </c>
      <c r="G811" s="7">
        <v>33948800</v>
      </c>
      <c r="H811" s="7">
        <v>6916200</v>
      </c>
      <c r="I811" s="7">
        <v>27032600</v>
      </c>
    </row>
    <row r="812" spans="1:9" x14ac:dyDescent="0.2">
      <c r="A812" s="1" t="s">
        <v>249</v>
      </c>
      <c r="B812" s="6" t="str">
        <f>"40282"</f>
        <v>40282</v>
      </c>
      <c r="C812" s="1" t="s">
        <v>8</v>
      </c>
      <c r="D812" s="1" t="s">
        <v>264</v>
      </c>
      <c r="E812" s="6" t="str">
        <f>"002"</f>
        <v>002</v>
      </c>
      <c r="F812" s="6">
        <v>2000</v>
      </c>
      <c r="G812" s="7">
        <v>41274200</v>
      </c>
      <c r="H812" s="7">
        <v>5873300</v>
      </c>
      <c r="I812" s="7">
        <v>35400900</v>
      </c>
    </row>
    <row r="813" spans="1:9" x14ac:dyDescent="0.2">
      <c r="A813" s="1" t="s">
        <v>249</v>
      </c>
      <c r="B813" s="6" t="str">
        <f>"40282"</f>
        <v>40282</v>
      </c>
      <c r="C813" s="1" t="s">
        <v>8</v>
      </c>
      <c r="D813" s="1" t="s">
        <v>264</v>
      </c>
      <c r="E813" s="6" t="str">
        <f>"003"</f>
        <v>003</v>
      </c>
      <c r="F813" s="6">
        <v>2005</v>
      </c>
      <c r="G813" s="7">
        <v>45442400</v>
      </c>
      <c r="H813" s="7">
        <v>15882400</v>
      </c>
      <c r="I813" s="7">
        <v>29560000</v>
      </c>
    </row>
    <row r="814" spans="1:9" x14ac:dyDescent="0.2">
      <c r="A814" s="1" t="s">
        <v>249</v>
      </c>
      <c r="B814" s="6" t="str">
        <f>"40282"</f>
        <v>40282</v>
      </c>
      <c r="C814" s="1" t="s">
        <v>8</v>
      </c>
      <c r="D814" s="1" t="s">
        <v>264</v>
      </c>
      <c r="E814" s="6" t="str">
        <f>"005"</f>
        <v>005</v>
      </c>
      <c r="F814" s="6">
        <v>2018</v>
      </c>
      <c r="G814" s="7">
        <v>24184200</v>
      </c>
      <c r="H814" s="7">
        <v>19946700</v>
      </c>
      <c r="I814" s="7">
        <v>4237500</v>
      </c>
    </row>
    <row r="815" spans="1:9" x14ac:dyDescent="0.2">
      <c r="A815" s="1" t="s">
        <v>249</v>
      </c>
      <c r="B815" s="6" t="str">
        <f t="shared" ref="B815:B824" si="35">"40291"</f>
        <v>40291</v>
      </c>
      <c r="C815" s="1" t="s">
        <v>8</v>
      </c>
      <c r="D815" s="1" t="s">
        <v>265</v>
      </c>
      <c r="E815" s="6" t="str">
        <f>"006"</f>
        <v>006</v>
      </c>
      <c r="F815" s="6">
        <v>2010</v>
      </c>
      <c r="G815" s="7">
        <v>137375400</v>
      </c>
      <c r="H815" s="7">
        <v>26768400</v>
      </c>
      <c r="I815" s="7">
        <v>110607000</v>
      </c>
    </row>
    <row r="816" spans="1:9" x14ac:dyDescent="0.2">
      <c r="A816" s="1" t="s">
        <v>249</v>
      </c>
      <c r="B816" s="6" t="str">
        <f t="shared" si="35"/>
        <v>40291</v>
      </c>
      <c r="C816" s="1" t="s">
        <v>8</v>
      </c>
      <c r="D816" s="1" t="s">
        <v>265</v>
      </c>
      <c r="E816" s="6" t="str">
        <f>"007"</f>
        <v>007</v>
      </c>
      <c r="F816" s="6">
        <v>2013</v>
      </c>
      <c r="G816" s="7">
        <v>214740400</v>
      </c>
      <c r="H816" s="7">
        <v>20811900</v>
      </c>
      <c r="I816" s="7">
        <v>193928500</v>
      </c>
    </row>
    <row r="817" spans="1:11" x14ac:dyDescent="0.2">
      <c r="A817" s="1" t="s">
        <v>249</v>
      </c>
      <c r="B817" s="6" t="str">
        <f t="shared" si="35"/>
        <v>40291</v>
      </c>
      <c r="C817" s="1" t="s">
        <v>8</v>
      </c>
      <c r="D817" s="1" t="s">
        <v>265</v>
      </c>
      <c r="E817" s="6" t="str">
        <f>"008"</f>
        <v>008</v>
      </c>
      <c r="F817" s="6">
        <v>2014</v>
      </c>
      <c r="G817" s="7">
        <v>122248900</v>
      </c>
      <c r="H817" s="7">
        <v>21009000</v>
      </c>
      <c r="I817" s="7">
        <v>101239900</v>
      </c>
    </row>
    <row r="818" spans="1:11" x14ac:dyDescent="0.2">
      <c r="A818" s="1" t="s">
        <v>249</v>
      </c>
      <c r="B818" s="6" t="str">
        <f t="shared" si="35"/>
        <v>40291</v>
      </c>
      <c r="C818" s="1" t="s">
        <v>8</v>
      </c>
      <c r="D818" s="1" t="s">
        <v>265</v>
      </c>
      <c r="E818" s="6" t="str">
        <f>"009"</f>
        <v>009</v>
      </c>
      <c r="F818" s="6">
        <v>2015</v>
      </c>
      <c r="G818" s="7">
        <v>30808800</v>
      </c>
      <c r="H818" s="7">
        <v>4878000</v>
      </c>
      <c r="I818" s="7">
        <v>25930800</v>
      </c>
    </row>
    <row r="819" spans="1:11" x14ac:dyDescent="0.2">
      <c r="A819" s="1" t="s">
        <v>249</v>
      </c>
      <c r="B819" s="6" t="str">
        <f t="shared" si="35"/>
        <v>40291</v>
      </c>
      <c r="C819" s="1" t="s">
        <v>8</v>
      </c>
      <c r="D819" s="1" t="s">
        <v>265</v>
      </c>
      <c r="E819" s="6" t="str">
        <f>"010"</f>
        <v>010</v>
      </c>
      <c r="F819" s="6">
        <v>2015</v>
      </c>
      <c r="G819" s="7">
        <v>55005400</v>
      </c>
      <c r="H819" s="7">
        <v>3911600</v>
      </c>
      <c r="I819" s="7">
        <v>51093800</v>
      </c>
    </row>
    <row r="820" spans="1:11" x14ac:dyDescent="0.2">
      <c r="A820" s="1" t="s">
        <v>249</v>
      </c>
      <c r="B820" s="6" t="str">
        <f t="shared" si="35"/>
        <v>40291</v>
      </c>
      <c r="C820" s="1" t="s">
        <v>8</v>
      </c>
      <c r="D820" s="1" t="s">
        <v>265</v>
      </c>
      <c r="E820" s="6" t="str">
        <f>"011"</f>
        <v>011</v>
      </c>
      <c r="F820" s="6">
        <v>2015</v>
      </c>
      <c r="G820" s="7">
        <v>81773400</v>
      </c>
      <c r="H820" s="7">
        <v>10779000</v>
      </c>
      <c r="I820" s="7">
        <v>70994400</v>
      </c>
    </row>
    <row r="821" spans="1:11" x14ac:dyDescent="0.2">
      <c r="A821" s="1" t="s">
        <v>249</v>
      </c>
      <c r="B821" s="6" t="str">
        <f t="shared" si="35"/>
        <v>40291</v>
      </c>
      <c r="C821" s="1" t="s">
        <v>8</v>
      </c>
      <c r="D821" s="1" t="s">
        <v>265</v>
      </c>
      <c r="E821" s="6" t="str">
        <f>"012"</f>
        <v>012</v>
      </c>
      <c r="F821" s="6">
        <v>2018</v>
      </c>
      <c r="G821" s="7">
        <v>70356000</v>
      </c>
      <c r="H821" s="7">
        <v>31990100</v>
      </c>
      <c r="I821" s="7">
        <v>38365900</v>
      </c>
    </row>
    <row r="822" spans="1:11" x14ac:dyDescent="0.2">
      <c r="A822" s="1" t="s">
        <v>249</v>
      </c>
      <c r="B822" s="6" t="str">
        <f t="shared" si="35"/>
        <v>40291</v>
      </c>
      <c r="C822" s="1" t="s">
        <v>8</v>
      </c>
      <c r="D822" s="1" t="s">
        <v>265</v>
      </c>
      <c r="E822" s="6" t="str">
        <f>"013"</f>
        <v>013</v>
      </c>
      <c r="F822" s="6">
        <v>2020</v>
      </c>
      <c r="G822" s="7">
        <v>40035700</v>
      </c>
      <c r="H822" s="7">
        <v>2985200</v>
      </c>
      <c r="I822" s="7">
        <v>37050500</v>
      </c>
    </row>
    <row r="823" spans="1:11" x14ac:dyDescent="0.2">
      <c r="A823" s="1" t="s">
        <v>249</v>
      </c>
      <c r="B823" s="6" t="str">
        <f t="shared" si="35"/>
        <v>40291</v>
      </c>
      <c r="C823" s="1" t="s">
        <v>8</v>
      </c>
      <c r="D823" s="1" t="s">
        <v>265</v>
      </c>
      <c r="E823" s="6" t="str">
        <f>"014"</f>
        <v>014</v>
      </c>
      <c r="F823" s="6">
        <v>2022</v>
      </c>
      <c r="G823" s="7">
        <v>3035100</v>
      </c>
      <c r="H823" s="7">
        <v>2932500</v>
      </c>
      <c r="I823" s="7">
        <v>102600</v>
      </c>
    </row>
    <row r="824" spans="1:11" x14ac:dyDescent="0.2">
      <c r="A824" s="1" t="s">
        <v>249</v>
      </c>
      <c r="B824" s="6" t="str">
        <f t="shared" si="35"/>
        <v>40291</v>
      </c>
      <c r="C824" s="1" t="s">
        <v>8</v>
      </c>
      <c r="D824" s="1" t="s">
        <v>265</v>
      </c>
      <c r="E824" s="6" t="str">
        <f>"015"</f>
        <v>015</v>
      </c>
      <c r="F824" s="6">
        <v>2023</v>
      </c>
      <c r="G824" s="7">
        <v>17487000</v>
      </c>
      <c r="H824" s="7">
        <v>16950900</v>
      </c>
      <c r="I824" s="7">
        <v>536100</v>
      </c>
    </row>
    <row r="825" spans="1:11" x14ac:dyDescent="0.2">
      <c r="A825" s="1" t="s">
        <v>249</v>
      </c>
      <c r="B825" s="6" t="str">
        <f t="shared" ref="B825:B836" si="36">"40292"</f>
        <v>40292</v>
      </c>
      <c r="C825" s="1" t="s">
        <v>8</v>
      </c>
      <c r="D825" s="1" t="s">
        <v>266</v>
      </c>
      <c r="E825" s="6" t="str">
        <f>"006"</f>
        <v>006</v>
      </c>
      <c r="F825" s="6">
        <v>2004</v>
      </c>
      <c r="G825" s="7">
        <v>11291700</v>
      </c>
      <c r="H825" s="7">
        <v>1277600</v>
      </c>
      <c r="I825" s="7">
        <v>10014100</v>
      </c>
    </row>
    <row r="826" spans="1:11" x14ac:dyDescent="0.2">
      <c r="A826" s="1" t="s">
        <v>249</v>
      </c>
      <c r="B826" s="6" t="str">
        <f t="shared" si="36"/>
        <v>40292</v>
      </c>
      <c r="C826" s="1" t="s">
        <v>8</v>
      </c>
      <c r="D826" s="1" t="s">
        <v>266</v>
      </c>
      <c r="E826" s="6" t="str">
        <f>"007"</f>
        <v>007</v>
      </c>
      <c r="F826" s="6">
        <v>2004</v>
      </c>
      <c r="G826" s="7">
        <v>89322900</v>
      </c>
      <c r="H826" s="7">
        <v>13551100</v>
      </c>
      <c r="I826" s="7">
        <v>75771800</v>
      </c>
    </row>
    <row r="827" spans="1:11" x14ac:dyDescent="0.2">
      <c r="A827" s="1" t="s">
        <v>249</v>
      </c>
      <c r="B827" s="6" t="str">
        <f t="shared" si="36"/>
        <v>40292</v>
      </c>
      <c r="C827" s="1" t="s">
        <v>8</v>
      </c>
      <c r="D827" s="1" t="s">
        <v>266</v>
      </c>
      <c r="E827" s="6" t="str">
        <f>"010"</f>
        <v>010</v>
      </c>
      <c r="F827" s="6">
        <v>2008</v>
      </c>
      <c r="G827" s="7">
        <v>18902800</v>
      </c>
      <c r="H827" s="7">
        <v>3300500</v>
      </c>
      <c r="I827" s="7">
        <v>15602300</v>
      </c>
    </row>
    <row r="828" spans="1:11" x14ac:dyDescent="0.2">
      <c r="A828" s="1" t="s">
        <v>249</v>
      </c>
      <c r="B828" s="6" t="str">
        <f t="shared" si="36"/>
        <v>40292</v>
      </c>
      <c r="C828" s="1" t="s">
        <v>8</v>
      </c>
      <c r="D828" s="1" t="s">
        <v>266</v>
      </c>
      <c r="E828" s="6" t="str">
        <f>"011"</f>
        <v>011</v>
      </c>
      <c r="F828" s="6">
        <v>2010</v>
      </c>
      <c r="G828" s="7">
        <v>60796500</v>
      </c>
      <c r="H828" s="7">
        <v>4628700</v>
      </c>
      <c r="I828" s="7">
        <v>56167800</v>
      </c>
    </row>
    <row r="829" spans="1:11" x14ac:dyDescent="0.2">
      <c r="A829" s="1" t="s">
        <v>249</v>
      </c>
      <c r="B829" s="6" t="str">
        <f t="shared" si="36"/>
        <v>40292</v>
      </c>
      <c r="C829" s="1" t="s">
        <v>8</v>
      </c>
      <c r="D829" s="1" t="s">
        <v>266</v>
      </c>
      <c r="E829" s="6" t="str">
        <f>"013"</f>
        <v>013</v>
      </c>
      <c r="F829" s="6">
        <v>2011</v>
      </c>
      <c r="G829" s="8">
        <v>1634700</v>
      </c>
      <c r="H829" s="8">
        <v>537400</v>
      </c>
      <c r="I829" s="8">
        <v>1097300</v>
      </c>
    </row>
    <row r="830" spans="1:11" x14ac:dyDescent="0.2">
      <c r="A830" s="1" t="s">
        <v>249</v>
      </c>
      <c r="B830" s="6" t="str">
        <f t="shared" si="36"/>
        <v>40292</v>
      </c>
      <c r="C830" s="1" t="s">
        <v>8</v>
      </c>
      <c r="D830" s="1" t="s">
        <v>266</v>
      </c>
      <c r="E830" s="6" t="str">
        <f>"014"</f>
        <v>014</v>
      </c>
      <c r="F830" s="6">
        <v>2015</v>
      </c>
      <c r="G830" s="8">
        <v>31496700</v>
      </c>
      <c r="H830" s="8">
        <v>1354300</v>
      </c>
      <c r="I830" s="8">
        <v>30142400</v>
      </c>
    </row>
    <row r="831" spans="1:11" x14ac:dyDescent="0.2">
      <c r="A831" s="1" t="s">
        <v>249</v>
      </c>
      <c r="B831" s="6" t="str">
        <f t="shared" si="36"/>
        <v>40292</v>
      </c>
      <c r="C831" s="1" t="s">
        <v>8</v>
      </c>
      <c r="D831" s="1" t="s">
        <v>266</v>
      </c>
      <c r="E831" s="6" t="str">
        <f>"015"</f>
        <v>015</v>
      </c>
      <c r="F831" s="6">
        <v>2016</v>
      </c>
      <c r="G831" s="8">
        <v>79986900</v>
      </c>
      <c r="H831" s="8">
        <v>0</v>
      </c>
      <c r="I831" s="8">
        <v>79986900</v>
      </c>
      <c r="K831" s="11"/>
    </row>
    <row r="832" spans="1:11" x14ac:dyDescent="0.2">
      <c r="A832" s="1" t="s">
        <v>249</v>
      </c>
      <c r="B832" s="6" t="str">
        <f t="shared" si="36"/>
        <v>40292</v>
      </c>
      <c r="C832" s="1" t="s">
        <v>8</v>
      </c>
      <c r="D832" s="1" t="s">
        <v>266</v>
      </c>
      <c r="E832" s="6" t="str">
        <f>"016"</f>
        <v>016</v>
      </c>
      <c r="F832" s="6">
        <v>2018</v>
      </c>
      <c r="G832" s="8">
        <v>34345800</v>
      </c>
      <c r="H832" s="8">
        <v>3080600</v>
      </c>
      <c r="I832" s="8">
        <v>31265200</v>
      </c>
    </row>
    <row r="833" spans="1:11" x14ac:dyDescent="0.2">
      <c r="A833" s="1" t="s">
        <v>249</v>
      </c>
      <c r="B833" s="6" t="str">
        <f t="shared" si="36"/>
        <v>40292</v>
      </c>
      <c r="C833" s="1" t="s">
        <v>8</v>
      </c>
      <c r="D833" s="1" t="s">
        <v>266</v>
      </c>
      <c r="E833" s="6" t="str">
        <f>"017"</f>
        <v>017</v>
      </c>
      <c r="F833" s="6">
        <v>2019</v>
      </c>
      <c r="G833" s="8">
        <v>33173700</v>
      </c>
      <c r="H833" s="8">
        <v>14285600</v>
      </c>
      <c r="I833" s="8">
        <v>18888100</v>
      </c>
      <c r="K833" s="11"/>
    </row>
    <row r="834" spans="1:11" x14ac:dyDescent="0.2">
      <c r="A834" s="1" t="s">
        <v>249</v>
      </c>
      <c r="B834" s="6" t="str">
        <f t="shared" si="36"/>
        <v>40292</v>
      </c>
      <c r="C834" s="1" t="s">
        <v>8</v>
      </c>
      <c r="D834" s="1" t="s">
        <v>266</v>
      </c>
      <c r="E834" s="6" t="str">
        <f>"018"</f>
        <v>018</v>
      </c>
      <c r="F834" s="6">
        <v>2020</v>
      </c>
      <c r="G834" s="7">
        <v>7104400</v>
      </c>
      <c r="H834" s="7">
        <v>4230100</v>
      </c>
      <c r="I834" s="7">
        <v>2874300</v>
      </c>
    </row>
    <row r="835" spans="1:11" x14ac:dyDescent="0.2">
      <c r="A835" s="1" t="s">
        <v>249</v>
      </c>
      <c r="B835" s="6" t="str">
        <f t="shared" si="36"/>
        <v>40292</v>
      </c>
      <c r="C835" s="1" t="s">
        <v>8</v>
      </c>
      <c r="D835" s="1" t="s">
        <v>266</v>
      </c>
      <c r="E835" s="6" t="str">
        <f>"019"</f>
        <v>019</v>
      </c>
      <c r="F835" s="6">
        <v>2023</v>
      </c>
      <c r="G835" s="7">
        <v>35397300</v>
      </c>
      <c r="H835" s="7">
        <v>1506200</v>
      </c>
      <c r="I835" s="7">
        <v>33891100</v>
      </c>
    </row>
    <row r="836" spans="1:11" x14ac:dyDescent="0.2">
      <c r="A836" s="1" t="s">
        <v>249</v>
      </c>
      <c r="B836" s="6" t="str">
        <f t="shared" si="36"/>
        <v>40292</v>
      </c>
      <c r="C836" s="1" t="s">
        <v>8</v>
      </c>
      <c r="D836" s="1" t="s">
        <v>266</v>
      </c>
      <c r="E836" s="6" t="str">
        <f>"020"</f>
        <v>020</v>
      </c>
      <c r="F836" s="6">
        <v>2024</v>
      </c>
      <c r="G836" s="7">
        <v>0</v>
      </c>
      <c r="H836" s="7">
        <v>0</v>
      </c>
      <c r="I836" s="7">
        <v>0</v>
      </c>
    </row>
    <row r="837" spans="1:11" x14ac:dyDescent="0.2">
      <c r="A837" s="1" t="s">
        <v>161</v>
      </c>
      <c r="B837" s="6" t="str">
        <f>"41111"</f>
        <v>41111</v>
      </c>
      <c r="C837" s="1" t="s">
        <v>12</v>
      </c>
      <c r="D837" s="1" t="s">
        <v>267</v>
      </c>
      <c r="E837" s="6" t="str">
        <f>"002"</f>
        <v>002</v>
      </c>
      <c r="F837" s="6">
        <v>1998</v>
      </c>
      <c r="G837" s="7">
        <v>8931400</v>
      </c>
      <c r="H837" s="7">
        <v>836000</v>
      </c>
      <c r="I837" s="7">
        <v>8095400</v>
      </c>
    </row>
    <row r="838" spans="1:11" x14ac:dyDescent="0.2">
      <c r="A838" s="1" t="s">
        <v>161</v>
      </c>
      <c r="B838" s="6" t="str">
        <f>"41111"</f>
        <v>41111</v>
      </c>
      <c r="C838" s="1" t="s">
        <v>12</v>
      </c>
      <c r="D838" s="1" t="s">
        <v>267</v>
      </c>
      <c r="E838" s="6" t="str">
        <f>"003"</f>
        <v>003</v>
      </c>
      <c r="F838" s="6">
        <v>2005</v>
      </c>
      <c r="G838" s="7">
        <v>49931300</v>
      </c>
      <c r="H838" s="7">
        <v>332300</v>
      </c>
      <c r="I838" s="7">
        <v>49599000</v>
      </c>
    </row>
    <row r="839" spans="1:11" x14ac:dyDescent="0.2">
      <c r="A839" s="1" t="s">
        <v>161</v>
      </c>
      <c r="B839" s="6" t="str">
        <f>"41176"</f>
        <v>41176</v>
      </c>
      <c r="C839" s="1" t="s">
        <v>12</v>
      </c>
      <c r="D839" s="1" t="s">
        <v>203</v>
      </c>
      <c r="E839" s="6" t="str">
        <f>"001"</f>
        <v>001</v>
      </c>
      <c r="F839" s="6">
        <v>2010</v>
      </c>
      <c r="G839" s="7">
        <v>4643500</v>
      </c>
      <c r="H839" s="7">
        <v>1837400</v>
      </c>
      <c r="I839" s="7">
        <v>2806100</v>
      </c>
    </row>
    <row r="840" spans="1:11" x14ac:dyDescent="0.2">
      <c r="A840" s="1" t="s">
        <v>161</v>
      </c>
      <c r="B840" s="6" t="str">
        <f>"41185"</f>
        <v>41185</v>
      </c>
      <c r="C840" s="1" t="s">
        <v>12</v>
      </c>
      <c r="D840" s="1" t="s">
        <v>268</v>
      </c>
      <c r="E840" s="6" t="str">
        <f>"001"</f>
        <v>001</v>
      </c>
      <c r="F840" s="6">
        <v>1998</v>
      </c>
      <c r="G840" s="7">
        <v>95800300</v>
      </c>
      <c r="H840" s="7">
        <v>8113400</v>
      </c>
      <c r="I840" s="7">
        <v>87686900</v>
      </c>
    </row>
    <row r="841" spans="1:11" x14ac:dyDescent="0.2">
      <c r="A841" s="1" t="s">
        <v>161</v>
      </c>
      <c r="B841" s="6" t="str">
        <f>"41191"</f>
        <v>41191</v>
      </c>
      <c r="C841" s="1" t="s">
        <v>12</v>
      </c>
      <c r="D841" s="1" t="s">
        <v>269</v>
      </c>
      <c r="E841" s="6" t="str">
        <f>"002"</f>
        <v>002</v>
      </c>
      <c r="F841" s="6">
        <v>1998</v>
      </c>
      <c r="G841" s="7">
        <v>27676300</v>
      </c>
      <c r="H841" s="7">
        <v>2261500</v>
      </c>
      <c r="I841" s="7">
        <v>25414800</v>
      </c>
    </row>
    <row r="842" spans="1:11" x14ac:dyDescent="0.2">
      <c r="A842" s="1" t="s">
        <v>161</v>
      </c>
      <c r="B842" s="6" t="str">
        <f>"41281"</f>
        <v>41281</v>
      </c>
      <c r="C842" s="1" t="s">
        <v>8</v>
      </c>
      <c r="D842" s="1" t="s">
        <v>270</v>
      </c>
      <c r="E842" s="6" t="str">
        <f>"009"</f>
        <v>009</v>
      </c>
      <c r="F842" s="6">
        <v>2018</v>
      </c>
      <c r="G842" s="7">
        <v>20091900</v>
      </c>
      <c r="H842" s="7">
        <v>767400</v>
      </c>
      <c r="I842" s="7">
        <v>19324500</v>
      </c>
    </row>
    <row r="843" spans="1:11" x14ac:dyDescent="0.2">
      <c r="A843" s="1" t="s">
        <v>161</v>
      </c>
      <c r="B843" s="6" t="str">
        <f>"41281"</f>
        <v>41281</v>
      </c>
      <c r="C843" s="1" t="s">
        <v>8</v>
      </c>
      <c r="D843" s="1" t="s">
        <v>270</v>
      </c>
      <c r="E843" s="6" t="str">
        <f>"010"</f>
        <v>010</v>
      </c>
      <c r="F843" s="6">
        <v>2023</v>
      </c>
      <c r="G843" s="7">
        <v>17554900</v>
      </c>
      <c r="H843" s="7">
        <v>13279800</v>
      </c>
      <c r="I843" s="7">
        <v>4275100</v>
      </c>
    </row>
    <row r="844" spans="1:11" x14ac:dyDescent="0.2">
      <c r="A844" s="1" t="s">
        <v>161</v>
      </c>
      <c r="B844" s="6" t="str">
        <f>"41286"</f>
        <v>41286</v>
      </c>
      <c r="C844" s="1" t="s">
        <v>8</v>
      </c>
      <c r="D844" s="1" t="s">
        <v>271</v>
      </c>
      <c r="E844" s="6" t="str">
        <f>"008"</f>
        <v>008</v>
      </c>
      <c r="F844" s="6">
        <v>2015</v>
      </c>
      <c r="G844" s="7">
        <v>65762500</v>
      </c>
      <c r="H844" s="7">
        <v>43860600</v>
      </c>
      <c r="I844" s="7">
        <v>21901900</v>
      </c>
    </row>
    <row r="845" spans="1:11" x14ac:dyDescent="0.2">
      <c r="A845" s="1" t="s">
        <v>161</v>
      </c>
      <c r="B845" s="6" t="str">
        <f>"41286"</f>
        <v>41286</v>
      </c>
      <c r="C845" s="1" t="s">
        <v>8</v>
      </c>
      <c r="D845" s="1" t="s">
        <v>271</v>
      </c>
      <c r="E845" s="6" t="str">
        <f>"009"</f>
        <v>009</v>
      </c>
      <c r="F845" s="6">
        <v>2018</v>
      </c>
      <c r="G845" s="7">
        <v>59224300</v>
      </c>
      <c r="H845" s="7">
        <v>38836500</v>
      </c>
      <c r="I845" s="7">
        <v>20387800</v>
      </c>
    </row>
    <row r="846" spans="1:11" x14ac:dyDescent="0.2">
      <c r="A846" s="1" t="s">
        <v>161</v>
      </c>
      <c r="B846" s="6" t="str">
        <f>"41286"</f>
        <v>41286</v>
      </c>
      <c r="C846" s="1" t="s">
        <v>8</v>
      </c>
      <c r="D846" s="1" t="s">
        <v>271</v>
      </c>
      <c r="E846" s="6" t="str">
        <f>"010"</f>
        <v>010</v>
      </c>
      <c r="F846" s="6">
        <v>2018</v>
      </c>
      <c r="G846" s="7">
        <v>20003400</v>
      </c>
      <c r="H846" s="7">
        <v>1657500</v>
      </c>
      <c r="I846" s="7">
        <v>18345900</v>
      </c>
    </row>
    <row r="847" spans="1:11" x14ac:dyDescent="0.2">
      <c r="A847" s="1" t="s">
        <v>161</v>
      </c>
      <c r="B847" s="6" t="str">
        <f>"41286"</f>
        <v>41286</v>
      </c>
      <c r="C847" s="1" t="s">
        <v>8</v>
      </c>
      <c r="D847" s="1" t="s">
        <v>271</v>
      </c>
      <c r="E847" s="6" t="str">
        <f>"011"</f>
        <v>011</v>
      </c>
      <c r="F847" s="6">
        <v>2021</v>
      </c>
      <c r="G847" s="7">
        <v>6557000</v>
      </c>
      <c r="H847" s="7">
        <v>3045200</v>
      </c>
      <c r="I847" s="7">
        <v>3511800</v>
      </c>
    </row>
    <row r="848" spans="1:11" x14ac:dyDescent="0.2">
      <c r="A848" s="1" t="s">
        <v>272</v>
      </c>
      <c r="B848" s="6" t="str">
        <f>"42146"</f>
        <v>42146</v>
      </c>
      <c r="C848" s="1" t="s">
        <v>12</v>
      </c>
      <c r="D848" s="1" t="s">
        <v>273</v>
      </c>
      <c r="E848" s="6" t="str">
        <f>"001"</f>
        <v>001</v>
      </c>
      <c r="F848" s="6">
        <v>2020</v>
      </c>
      <c r="G848" s="7">
        <v>1267000</v>
      </c>
      <c r="H848" s="7">
        <v>184700</v>
      </c>
      <c r="I848" s="7">
        <v>1082300</v>
      </c>
    </row>
    <row r="849" spans="1:9" x14ac:dyDescent="0.2">
      <c r="A849" s="1" t="s">
        <v>272</v>
      </c>
      <c r="B849" s="6" t="str">
        <f>"42146"</f>
        <v>42146</v>
      </c>
      <c r="C849" s="1" t="s">
        <v>12</v>
      </c>
      <c r="D849" s="1" t="s">
        <v>273</v>
      </c>
      <c r="E849" s="6" t="str">
        <f>"002"</f>
        <v>002</v>
      </c>
      <c r="F849" s="6">
        <v>2024</v>
      </c>
      <c r="G849" s="7">
        <v>719700</v>
      </c>
      <c r="H849" s="7">
        <v>78200</v>
      </c>
      <c r="I849" s="7">
        <v>641500</v>
      </c>
    </row>
    <row r="850" spans="1:9" x14ac:dyDescent="0.2">
      <c r="A850" s="1" t="s">
        <v>272</v>
      </c>
      <c r="B850" s="6" t="str">
        <f>"42181"</f>
        <v>42181</v>
      </c>
      <c r="C850" s="1" t="s">
        <v>12</v>
      </c>
      <c r="D850" s="1" t="s">
        <v>274</v>
      </c>
      <c r="E850" s="6" t="str">
        <f>"001"</f>
        <v>001</v>
      </c>
      <c r="F850" s="6">
        <v>2000</v>
      </c>
      <c r="G850" s="7">
        <v>5859600</v>
      </c>
      <c r="H850" s="7">
        <v>1324135</v>
      </c>
      <c r="I850" s="7">
        <v>4535465</v>
      </c>
    </row>
    <row r="851" spans="1:9" x14ac:dyDescent="0.2">
      <c r="A851" s="1" t="s">
        <v>272</v>
      </c>
      <c r="B851" s="6" t="str">
        <f>"42181"</f>
        <v>42181</v>
      </c>
      <c r="C851" s="1" t="s">
        <v>12</v>
      </c>
      <c r="D851" s="1" t="s">
        <v>274</v>
      </c>
      <c r="E851" s="6" t="str">
        <f>"002"</f>
        <v>002</v>
      </c>
      <c r="F851" s="6">
        <v>2024</v>
      </c>
      <c r="G851" s="7">
        <v>726000</v>
      </c>
      <c r="H851" s="7">
        <v>702300</v>
      </c>
      <c r="I851" s="7">
        <v>23700</v>
      </c>
    </row>
    <row r="852" spans="1:9" x14ac:dyDescent="0.2">
      <c r="A852" s="1" t="s">
        <v>272</v>
      </c>
      <c r="B852" s="6" t="str">
        <f>"42231"</f>
        <v>42231</v>
      </c>
      <c r="C852" s="1" t="s">
        <v>8</v>
      </c>
      <c r="D852" s="1" t="s">
        <v>275</v>
      </c>
      <c r="E852" s="6" t="str">
        <f>"003"</f>
        <v>003</v>
      </c>
      <c r="F852" s="6">
        <v>2000</v>
      </c>
      <c r="G852" s="7">
        <v>14794600</v>
      </c>
      <c r="H852" s="7">
        <v>6393100</v>
      </c>
      <c r="I852" s="7">
        <v>8401500</v>
      </c>
    </row>
    <row r="853" spans="1:9" x14ac:dyDescent="0.2">
      <c r="A853" s="1" t="s">
        <v>272</v>
      </c>
      <c r="B853" s="6" t="str">
        <f>"42231"</f>
        <v>42231</v>
      </c>
      <c r="C853" s="1" t="s">
        <v>8</v>
      </c>
      <c r="D853" s="1" t="s">
        <v>275</v>
      </c>
      <c r="E853" s="6" t="str">
        <f>"004"</f>
        <v>004</v>
      </c>
      <c r="F853" s="6">
        <v>2022</v>
      </c>
      <c r="G853" s="7">
        <v>7626700</v>
      </c>
      <c r="H853" s="7">
        <v>4298800</v>
      </c>
      <c r="I853" s="7">
        <v>3327900</v>
      </c>
    </row>
    <row r="854" spans="1:9" x14ac:dyDescent="0.2">
      <c r="A854" s="1" t="s">
        <v>272</v>
      </c>
      <c r="B854" s="6" t="str">
        <f>"42265"</f>
        <v>42265</v>
      </c>
      <c r="C854" s="1" t="s">
        <v>8</v>
      </c>
      <c r="D854" s="1" t="s">
        <v>272</v>
      </c>
      <c r="E854" s="6" t="str">
        <f>"004"</f>
        <v>004</v>
      </c>
      <c r="F854" s="6">
        <v>2010</v>
      </c>
      <c r="G854" s="7">
        <v>13341900</v>
      </c>
      <c r="H854" s="7">
        <v>1340100</v>
      </c>
      <c r="I854" s="7">
        <v>12001800</v>
      </c>
    </row>
    <row r="855" spans="1:9" x14ac:dyDescent="0.2">
      <c r="A855" s="1" t="s">
        <v>272</v>
      </c>
      <c r="B855" s="6" t="str">
        <f>"42265"</f>
        <v>42265</v>
      </c>
      <c r="C855" s="1" t="s">
        <v>8</v>
      </c>
      <c r="D855" s="1" t="s">
        <v>272</v>
      </c>
      <c r="E855" s="6" t="str">
        <f>"005"</f>
        <v>005</v>
      </c>
      <c r="F855" s="6">
        <v>2022</v>
      </c>
      <c r="G855" s="7">
        <v>24787200</v>
      </c>
      <c r="H855" s="7">
        <v>11108700</v>
      </c>
      <c r="I855" s="7">
        <v>13678500</v>
      </c>
    </row>
    <row r="856" spans="1:9" x14ac:dyDescent="0.2">
      <c r="A856" s="1" t="s">
        <v>272</v>
      </c>
      <c r="B856" s="6" t="str">
        <f>"42266"</f>
        <v>42266</v>
      </c>
      <c r="C856" s="1" t="s">
        <v>8</v>
      </c>
      <c r="D856" s="1" t="s">
        <v>276</v>
      </c>
      <c r="E856" s="6" t="str">
        <f>"003"</f>
        <v>003</v>
      </c>
      <c r="F856" s="6">
        <v>2023</v>
      </c>
      <c r="G856" s="7">
        <v>32038600</v>
      </c>
      <c r="H856" s="7">
        <v>26472800</v>
      </c>
      <c r="I856" s="7">
        <v>5565800</v>
      </c>
    </row>
    <row r="857" spans="1:9" x14ac:dyDescent="0.2">
      <c r="A857" s="1" t="s">
        <v>277</v>
      </c>
      <c r="B857" s="6" t="str">
        <f>"43016"</f>
        <v>43016</v>
      </c>
      <c r="C857" s="1" t="s">
        <v>6</v>
      </c>
      <c r="D857" s="1" t="s">
        <v>278</v>
      </c>
      <c r="E857" s="6" t="str">
        <f>"001A"</f>
        <v>001A</v>
      </c>
      <c r="F857" s="6">
        <v>2024</v>
      </c>
      <c r="G857" s="7">
        <v>56414600</v>
      </c>
      <c r="H857" s="7">
        <v>50890700</v>
      </c>
      <c r="I857" s="7">
        <v>5523900</v>
      </c>
    </row>
    <row r="858" spans="1:9" x14ac:dyDescent="0.2">
      <c r="A858" s="1" t="s">
        <v>277</v>
      </c>
      <c r="B858" s="6" t="str">
        <f t="shared" ref="B858:B864" si="37">"43276"</f>
        <v>43276</v>
      </c>
      <c r="C858" s="1" t="s">
        <v>8</v>
      </c>
      <c r="D858" s="1" t="s">
        <v>279</v>
      </c>
      <c r="E858" s="6" t="str">
        <f>"001E"</f>
        <v>001E</v>
      </c>
      <c r="F858" s="6">
        <v>2005</v>
      </c>
      <c r="G858" s="7">
        <v>9593800</v>
      </c>
      <c r="H858" s="7">
        <v>1135800</v>
      </c>
      <c r="I858" s="7">
        <v>8458000</v>
      </c>
    </row>
    <row r="859" spans="1:9" x14ac:dyDescent="0.2">
      <c r="A859" s="1" t="s">
        <v>277</v>
      </c>
      <c r="B859" s="6" t="str">
        <f t="shared" si="37"/>
        <v>43276</v>
      </c>
      <c r="C859" s="1" t="s">
        <v>8</v>
      </c>
      <c r="D859" s="1" t="s">
        <v>279</v>
      </c>
      <c r="E859" s="6" t="str">
        <f>"006"</f>
        <v>006</v>
      </c>
      <c r="F859" s="6">
        <v>2002</v>
      </c>
      <c r="G859" s="7">
        <v>20555400</v>
      </c>
      <c r="H859" s="7">
        <v>9574900</v>
      </c>
      <c r="I859" s="7">
        <v>10980500</v>
      </c>
    </row>
    <row r="860" spans="1:9" x14ac:dyDescent="0.2">
      <c r="A860" s="1" t="s">
        <v>277</v>
      </c>
      <c r="B860" s="6" t="str">
        <f t="shared" si="37"/>
        <v>43276</v>
      </c>
      <c r="C860" s="1" t="s">
        <v>8</v>
      </c>
      <c r="D860" s="1" t="s">
        <v>279</v>
      </c>
      <c r="E860" s="6" t="str">
        <f>"008"</f>
        <v>008</v>
      </c>
      <c r="F860" s="6">
        <v>2010</v>
      </c>
      <c r="G860" s="7">
        <v>75580300</v>
      </c>
      <c r="H860" s="7">
        <v>44455400</v>
      </c>
      <c r="I860" s="7">
        <v>31124900</v>
      </c>
    </row>
    <row r="861" spans="1:9" x14ac:dyDescent="0.2">
      <c r="A861" s="1" t="s">
        <v>277</v>
      </c>
      <c r="B861" s="6" t="str">
        <f t="shared" si="37"/>
        <v>43276</v>
      </c>
      <c r="C861" s="1" t="s">
        <v>8</v>
      </c>
      <c r="D861" s="1" t="s">
        <v>279</v>
      </c>
      <c r="E861" s="6" t="str">
        <f>"009"</f>
        <v>009</v>
      </c>
      <c r="F861" s="6">
        <v>2012</v>
      </c>
      <c r="G861" s="7">
        <v>25896300</v>
      </c>
      <c r="H861" s="7">
        <v>4900</v>
      </c>
      <c r="I861" s="7">
        <v>25891400</v>
      </c>
    </row>
    <row r="862" spans="1:9" x14ac:dyDescent="0.2">
      <c r="A862" s="1" t="s">
        <v>277</v>
      </c>
      <c r="B862" s="6" t="str">
        <f t="shared" si="37"/>
        <v>43276</v>
      </c>
      <c r="C862" s="1" t="s">
        <v>8</v>
      </c>
      <c r="D862" s="1" t="s">
        <v>279</v>
      </c>
      <c r="E862" s="6" t="str">
        <f>"010"</f>
        <v>010</v>
      </c>
      <c r="F862" s="6">
        <v>2013</v>
      </c>
      <c r="G862" s="7">
        <v>16535800</v>
      </c>
      <c r="H862" s="7">
        <v>5648100</v>
      </c>
      <c r="I862" s="7">
        <v>10887700</v>
      </c>
    </row>
    <row r="863" spans="1:9" x14ac:dyDescent="0.2">
      <c r="A863" s="1" t="s">
        <v>277</v>
      </c>
      <c r="B863" s="6" t="str">
        <f t="shared" si="37"/>
        <v>43276</v>
      </c>
      <c r="C863" s="1" t="s">
        <v>8</v>
      </c>
      <c r="D863" s="1" t="s">
        <v>279</v>
      </c>
      <c r="E863" s="6" t="str">
        <f>"011"</f>
        <v>011</v>
      </c>
      <c r="F863" s="6">
        <v>2022</v>
      </c>
      <c r="G863" s="7">
        <v>30416700</v>
      </c>
      <c r="H863" s="7">
        <v>15434500</v>
      </c>
      <c r="I863" s="7">
        <v>14982200</v>
      </c>
    </row>
    <row r="864" spans="1:9" x14ac:dyDescent="0.2">
      <c r="A864" s="1" t="s">
        <v>277</v>
      </c>
      <c r="B864" s="6" t="str">
        <f t="shared" si="37"/>
        <v>43276</v>
      </c>
      <c r="C864" s="1" t="s">
        <v>8</v>
      </c>
      <c r="D864" s="1" t="s">
        <v>279</v>
      </c>
      <c r="E864" s="6" t="str">
        <f>"012"</f>
        <v>012</v>
      </c>
      <c r="F864" s="6">
        <v>2022</v>
      </c>
      <c r="G864" s="7">
        <v>14619100</v>
      </c>
      <c r="H864" s="7">
        <v>265900</v>
      </c>
      <c r="I864" s="7">
        <v>14353200</v>
      </c>
    </row>
    <row r="865" spans="1:9" x14ac:dyDescent="0.2">
      <c r="A865" s="1" t="s">
        <v>280</v>
      </c>
      <c r="B865" s="6" t="str">
        <f>"44018"</f>
        <v>44018</v>
      </c>
      <c r="C865" s="1" t="s">
        <v>6</v>
      </c>
      <c r="D865" s="1" t="s">
        <v>281</v>
      </c>
      <c r="E865" s="6" t="str">
        <f>"001A"</f>
        <v>001A</v>
      </c>
      <c r="F865" s="6">
        <v>2016</v>
      </c>
      <c r="G865" s="7">
        <v>43520000</v>
      </c>
      <c r="H865" s="7">
        <v>2008100</v>
      </c>
      <c r="I865" s="7">
        <v>41511900</v>
      </c>
    </row>
    <row r="866" spans="1:9" x14ac:dyDescent="0.2">
      <c r="A866" s="1" t="s">
        <v>280</v>
      </c>
      <c r="B866" s="6" t="str">
        <f>"44018"</f>
        <v>44018</v>
      </c>
      <c r="C866" s="1" t="s">
        <v>6</v>
      </c>
      <c r="D866" s="1" t="s">
        <v>281</v>
      </c>
      <c r="E866" s="6" t="str">
        <f>"002A"</f>
        <v>002A</v>
      </c>
      <c r="F866" s="6">
        <v>2017</v>
      </c>
      <c r="G866" s="7">
        <v>35377300</v>
      </c>
      <c r="H866" s="7">
        <v>11728400</v>
      </c>
      <c r="I866" s="7">
        <v>23648900</v>
      </c>
    </row>
    <row r="867" spans="1:9" x14ac:dyDescent="0.2">
      <c r="A867" s="1" t="s">
        <v>280</v>
      </c>
      <c r="B867" s="6" t="str">
        <f>"44018"</f>
        <v>44018</v>
      </c>
      <c r="C867" s="1" t="s">
        <v>6</v>
      </c>
      <c r="D867" s="1" t="s">
        <v>281</v>
      </c>
      <c r="E867" s="6" t="str">
        <f>"003A"</f>
        <v>003A</v>
      </c>
      <c r="F867" s="6">
        <v>2023</v>
      </c>
      <c r="G867" s="7">
        <v>3257900</v>
      </c>
      <c r="H867" s="7">
        <v>5675800</v>
      </c>
      <c r="I867" s="7">
        <v>-2417900</v>
      </c>
    </row>
    <row r="868" spans="1:9" x14ac:dyDescent="0.2">
      <c r="A868" s="1" t="s">
        <v>280</v>
      </c>
      <c r="B868" s="6" t="str">
        <f>"44020"</f>
        <v>44020</v>
      </c>
      <c r="C868" s="1" t="s">
        <v>6</v>
      </c>
      <c r="D868" s="1" t="s">
        <v>282</v>
      </c>
      <c r="E868" s="6" t="str">
        <f>"001A"</f>
        <v>001A</v>
      </c>
      <c r="F868" s="6">
        <v>2015</v>
      </c>
      <c r="G868" s="7">
        <v>18138800</v>
      </c>
      <c r="H868" s="7">
        <v>7700</v>
      </c>
      <c r="I868" s="7">
        <v>18131100</v>
      </c>
    </row>
    <row r="869" spans="1:9" x14ac:dyDescent="0.2">
      <c r="A869" s="1" t="s">
        <v>280</v>
      </c>
      <c r="B869" s="6" t="str">
        <f>"44020"</f>
        <v>44020</v>
      </c>
      <c r="C869" s="1" t="s">
        <v>6</v>
      </c>
      <c r="D869" s="1" t="s">
        <v>282</v>
      </c>
      <c r="E869" s="6" t="str">
        <f>"002A"</f>
        <v>002A</v>
      </c>
      <c r="F869" s="6">
        <v>2016</v>
      </c>
      <c r="G869" s="7">
        <v>108477400</v>
      </c>
      <c r="H869" s="7">
        <v>15818200</v>
      </c>
      <c r="I869" s="7">
        <v>92659200</v>
      </c>
    </row>
    <row r="870" spans="1:9" x14ac:dyDescent="0.2">
      <c r="A870" s="1" t="s">
        <v>280</v>
      </c>
      <c r="B870" s="6" t="str">
        <f>"44020"</f>
        <v>44020</v>
      </c>
      <c r="C870" s="1" t="s">
        <v>6</v>
      </c>
      <c r="D870" s="1" t="s">
        <v>282</v>
      </c>
      <c r="E870" s="6" t="str">
        <f>"003A"</f>
        <v>003A</v>
      </c>
      <c r="F870" s="6">
        <v>2017</v>
      </c>
      <c r="G870" s="7">
        <v>39803300</v>
      </c>
      <c r="H870" s="7">
        <v>14700600</v>
      </c>
      <c r="I870" s="7">
        <v>25102700</v>
      </c>
    </row>
    <row r="871" spans="1:9" x14ac:dyDescent="0.2">
      <c r="A871" s="1" t="s">
        <v>280</v>
      </c>
      <c r="B871" s="6" t="str">
        <f>"44020"</f>
        <v>44020</v>
      </c>
      <c r="C871" s="1" t="s">
        <v>6</v>
      </c>
      <c r="D871" s="1" t="s">
        <v>282</v>
      </c>
      <c r="E871" s="6" t="str">
        <f>"004A"</f>
        <v>004A</v>
      </c>
      <c r="F871" s="6">
        <v>2018</v>
      </c>
      <c r="G871" s="7">
        <v>24196900</v>
      </c>
      <c r="H871" s="7">
        <v>3635800</v>
      </c>
      <c r="I871" s="7">
        <v>20561100</v>
      </c>
    </row>
    <row r="872" spans="1:9" x14ac:dyDescent="0.2">
      <c r="A872" s="1" t="s">
        <v>280</v>
      </c>
      <c r="B872" s="6" t="str">
        <f>"44020"</f>
        <v>44020</v>
      </c>
      <c r="C872" s="1" t="s">
        <v>6</v>
      </c>
      <c r="D872" s="1" t="s">
        <v>282</v>
      </c>
      <c r="E872" s="6" t="str">
        <f>"005A"</f>
        <v>005A</v>
      </c>
      <c r="F872" s="6">
        <v>2024</v>
      </c>
      <c r="G872" s="7">
        <v>2159700</v>
      </c>
      <c r="H872" s="7">
        <v>2918500</v>
      </c>
      <c r="I872" s="7">
        <v>-758800</v>
      </c>
    </row>
    <row r="873" spans="1:9" x14ac:dyDescent="0.2">
      <c r="A873" s="1" t="s">
        <v>280</v>
      </c>
      <c r="B873" s="6" t="str">
        <f>"44107"</f>
        <v>44107</v>
      </c>
      <c r="C873" s="1" t="s">
        <v>12</v>
      </c>
      <c r="D873" s="1" t="s">
        <v>283</v>
      </c>
      <c r="E873" s="6" t="str">
        <f>"003"</f>
        <v>003</v>
      </c>
      <c r="F873" s="6">
        <v>2022</v>
      </c>
      <c r="G873" s="7">
        <v>8720000</v>
      </c>
      <c r="H873" s="7">
        <v>5505400</v>
      </c>
      <c r="I873" s="7">
        <v>3214600</v>
      </c>
    </row>
    <row r="874" spans="1:9" x14ac:dyDescent="0.2">
      <c r="A874" s="1" t="s">
        <v>280</v>
      </c>
      <c r="B874" s="6" t="str">
        <f>"44111"</f>
        <v>44111</v>
      </c>
      <c r="C874" s="1" t="s">
        <v>12</v>
      </c>
      <c r="D874" s="1" t="s">
        <v>284</v>
      </c>
      <c r="E874" s="6" t="str">
        <f>"002"</f>
        <v>002</v>
      </c>
      <c r="F874" s="6">
        <v>2015</v>
      </c>
      <c r="G874" s="7">
        <v>16217400</v>
      </c>
      <c r="H874" s="7">
        <v>8097400</v>
      </c>
      <c r="I874" s="7">
        <v>8120000</v>
      </c>
    </row>
    <row r="875" spans="1:9" x14ac:dyDescent="0.2">
      <c r="A875" s="1" t="s">
        <v>280</v>
      </c>
      <c r="B875" s="6" t="str">
        <f>"44111"</f>
        <v>44111</v>
      </c>
      <c r="C875" s="1" t="s">
        <v>12</v>
      </c>
      <c r="D875" s="1" t="s">
        <v>284</v>
      </c>
      <c r="E875" s="6" t="str">
        <f>"003"</f>
        <v>003</v>
      </c>
      <c r="F875" s="6">
        <v>2019</v>
      </c>
      <c r="G875" s="7">
        <v>8354000</v>
      </c>
      <c r="H875" s="7">
        <v>935400</v>
      </c>
      <c r="I875" s="7">
        <v>7418600</v>
      </c>
    </row>
    <row r="876" spans="1:9" x14ac:dyDescent="0.2">
      <c r="A876" s="1" t="s">
        <v>280</v>
      </c>
      <c r="B876" s="6" t="str">
        <f>"44122"</f>
        <v>44122</v>
      </c>
      <c r="C876" s="1" t="s">
        <v>12</v>
      </c>
      <c r="D876" s="1" t="s">
        <v>285</v>
      </c>
      <c r="E876" s="6" t="str">
        <f>"001"</f>
        <v>001</v>
      </c>
      <c r="F876" s="6">
        <v>2017</v>
      </c>
      <c r="G876" s="7">
        <v>42391000</v>
      </c>
      <c r="H876" s="7">
        <v>10996100</v>
      </c>
      <c r="I876" s="7">
        <v>31394900</v>
      </c>
    </row>
    <row r="877" spans="1:9" x14ac:dyDescent="0.2">
      <c r="A877" s="1" t="s">
        <v>280</v>
      </c>
      <c r="B877" s="6" t="str">
        <f>"44122"</f>
        <v>44122</v>
      </c>
      <c r="C877" s="1" t="s">
        <v>12</v>
      </c>
      <c r="D877" s="1" t="s">
        <v>285</v>
      </c>
      <c r="E877" s="6" t="str">
        <f>"002"</f>
        <v>002</v>
      </c>
      <c r="F877" s="6">
        <v>2022</v>
      </c>
      <c r="G877" s="7">
        <v>45584600</v>
      </c>
      <c r="H877" s="7">
        <v>33457200</v>
      </c>
      <c r="I877" s="7">
        <v>12127400</v>
      </c>
    </row>
    <row r="878" spans="1:9" x14ac:dyDescent="0.2">
      <c r="A878" s="1" t="s">
        <v>280</v>
      </c>
      <c r="B878" s="6" t="str">
        <f>"44136"</f>
        <v>44136</v>
      </c>
      <c r="C878" s="1" t="s">
        <v>12</v>
      </c>
      <c r="D878" s="1" t="s">
        <v>286</v>
      </c>
      <c r="E878" s="6" t="str">
        <f>"003"</f>
        <v>003</v>
      </c>
      <c r="F878" s="6">
        <v>2013</v>
      </c>
      <c r="G878" s="7">
        <v>7750200</v>
      </c>
      <c r="H878" s="7">
        <v>487700</v>
      </c>
      <c r="I878" s="7">
        <v>7262500</v>
      </c>
    </row>
    <row r="879" spans="1:9" x14ac:dyDescent="0.2">
      <c r="A879" s="1" t="s">
        <v>280</v>
      </c>
      <c r="B879" s="6" t="str">
        <f>"44136"</f>
        <v>44136</v>
      </c>
      <c r="C879" s="1" t="s">
        <v>12</v>
      </c>
      <c r="D879" s="1" t="s">
        <v>286</v>
      </c>
      <c r="E879" s="6" t="str">
        <f>"004"</f>
        <v>004</v>
      </c>
      <c r="F879" s="6">
        <v>2017</v>
      </c>
      <c r="G879" s="7">
        <v>19038000</v>
      </c>
      <c r="H879" s="7">
        <v>4288600</v>
      </c>
      <c r="I879" s="7">
        <v>14749400</v>
      </c>
    </row>
    <row r="880" spans="1:9" x14ac:dyDescent="0.2">
      <c r="A880" s="1" t="s">
        <v>280</v>
      </c>
      <c r="B880" s="6" t="str">
        <f>"44136"</f>
        <v>44136</v>
      </c>
      <c r="C880" s="1" t="s">
        <v>12</v>
      </c>
      <c r="D880" s="1" t="s">
        <v>286</v>
      </c>
      <c r="E880" s="6" t="str">
        <f>"005"</f>
        <v>005</v>
      </c>
      <c r="F880" s="6">
        <v>2017</v>
      </c>
      <c r="G880" s="7">
        <v>733800</v>
      </c>
      <c r="H880" s="7">
        <v>520300</v>
      </c>
      <c r="I880" s="7">
        <v>213500</v>
      </c>
    </row>
    <row r="881" spans="1:9" x14ac:dyDescent="0.2">
      <c r="A881" s="1" t="s">
        <v>280</v>
      </c>
      <c r="B881" s="6" t="str">
        <f>"44136"</f>
        <v>44136</v>
      </c>
      <c r="C881" s="1" t="s">
        <v>12</v>
      </c>
      <c r="D881" s="1" t="s">
        <v>286</v>
      </c>
      <c r="E881" s="6" t="str">
        <f>"006"</f>
        <v>006</v>
      </c>
      <c r="F881" s="6">
        <v>2022</v>
      </c>
      <c r="G881" s="7">
        <v>8062500</v>
      </c>
      <c r="H881" s="7">
        <v>5928500</v>
      </c>
      <c r="I881" s="7">
        <v>2134000</v>
      </c>
    </row>
    <row r="882" spans="1:9" x14ac:dyDescent="0.2">
      <c r="A882" s="1" t="s">
        <v>280</v>
      </c>
      <c r="B882" s="6" t="str">
        <f>"44141"</f>
        <v>44141</v>
      </c>
      <c r="C882" s="1" t="s">
        <v>12</v>
      </c>
      <c r="D882" s="1" t="s">
        <v>287</v>
      </c>
      <c r="E882" s="6" t="str">
        <f>"004"</f>
        <v>004</v>
      </c>
      <c r="F882" s="6">
        <v>2005</v>
      </c>
      <c r="G882" s="7">
        <v>17660900</v>
      </c>
      <c r="H882" s="7">
        <v>778200</v>
      </c>
      <c r="I882" s="7">
        <v>16882700</v>
      </c>
    </row>
    <row r="883" spans="1:9" x14ac:dyDescent="0.2">
      <c r="A883" s="1" t="s">
        <v>280</v>
      </c>
      <c r="B883" s="6" t="str">
        <f>"44141"</f>
        <v>44141</v>
      </c>
      <c r="C883" s="1" t="s">
        <v>12</v>
      </c>
      <c r="D883" s="1" t="s">
        <v>287</v>
      </c>
      <c r="E883" s="6" t="str">
        <f>"005"</f>
        <v>005</v>
      </c>
      <c r="F883" s="6">
        <v>2008</v>
      </c>
      <c r="G883" s="7">
        <v>65262200</v>
      </c>
      <c r="H883" s="7">
        <v>11345100</v>
      </c>
      <c r="I883" s="7">
        <v>53917100</v>
      </c>
    </row>
    <row r="884" spans="1:9" x14ac:dyDescent="0.2">
      <c r="A884" s="1" t="s">
        <v>280</v>
      </c>
      <c r="B884" s="6" t="str">
        <f>"44141"</f>
        <v>44141</v>
      </c>
      <c r="C884" s="1" t="s">
        <v>12</v>
      </c>
      <c r="D884" s="1" t="s">
        <v>287</v>
      </c>
      <c r="E884" s="6" t="str">
        <f>"006"</f>
        <v>006</v>
      </c>
      <c r="F884" s="6">
        <v>2016</v>
      </c>
      <c r="G884" s="7">
        <v>200282600</v>
      </c>
      <c r="H884" s="7">
        <v>18519100</v>
      </c>
      <c r="I884" s="7">
        <v>181763500</v>
      </c>
    </row>
    <row r="885" spans="1:9" x14ac:dyDescent="0.2">
      <c r="A885" s="1" t="s">
        <v>280</v>
      </c>
      <c r="B885" s="6" t="str">
        <f>"44146"</f>
        <v>44146</v>
      </c>
      <c r="C885" s="1" t="s">
        <v>12</v>
      </c>
      <c r="D885" s="1" t="s">
        <v>288</v>
      </c>
      <c r="E885" s="6" t="str">
        <f>"004"</f>
        <v>004</v>
      </c>
      <c r="F885" s="6">
        <v>2007</v>
      </c>
      <c r="G885" s="7">
        <v>127321000</v>
      </c>
      <c r="H885" s="7">
        <v>3413400</v>
      </c>
      <c r="I885" s="7">
        <v>123907600</v>
      </c>
    </row>
    <row r="886" spans="1:9" x14ac:dyDescent="0.2">
      <c r="A886" s="1" t="s">
        <v>280</v>
      </c>
      <c r="B886" s="6" t="str">
        <f>"44146"</f>
        <v>44146</v>
      </c>
      <c r="C886" s="1" t="s">
        <v>12</v>
      </c>
      <c r="D886" s="1" t="s">
        <v>288</v>
      </c>
      <c r="E886" s="6" t="str">
        <f>"005"</f>
        <v>005</v>
      </c>
      <c r="F886" s="6">
        <v>2013</v>
      </c>
      <c r="G886" s="7">
        <v>43857900</v>
      </c>
      <c r="H886" s="7">
        <v>11352900</v>
      </c>
      <c r="I886" s="7">
        <v>32505000</v>
      </c>
    </row>
    <row r="887" spans="1:9" x14ac:dyDescent="0.2">
      <c r="A887" s="1" t="s">
        <v>280</v>
      </c>
      <c r="B887" s="6" t="str">
        <f>"44146"</f>
        <v>44146</v>
      </c>
      <c r="C887" s="1" t="s">
        <v>12</v>
      </c>
      <c r="D887" s="1" t="s">
        <v>288</v>
      </c>
      <c r="E887" s="6" t="str">
        <f>"006"</f>
        <v>006</v>
      </c>
      <c r="F887" s="6">
        <v>2016</v>
      </c>
      <c r="G887" s="7">
        <v>163246300</v>
      </c>
      <c r="H887" s="7">
        <v>2075700</v>
      </c>
      <c r="I887" s="7">
        <v>161170600</v>
      </c>
    </row>
    <row r="888" spans="1:9" x14ac:dyDescent="0.2">
      <c r="A888" s="1" t="s">
        <v>280</v>
      </c>
      <c r="B888" s="6" t="str">
        <f>"44146"</f>
        <v>44146</v>
      </c>
      <c r="C888" s="1" t="s">
        <v>12</v>
      </c>
      <c r="D888" s="1" t="s">
        <v>288</v>
      </c>
      <c r="E888" s="6" t="str">
        <f>"007"</f>
        <v>007</v>
      </c>
      <c r="F888" s="6">
        <v>2018</v>
      </c>
      <c r="G888" s="7">
        <v>98911500</v>
      </c>
      <c r="H888" s="7">
        <v>3436200</v>
      </c>
      <c r="I888" s="7">
        <v>95475300</v>
      </c>
    </row>
    <row r="889" spans="1:9" x14ac:dyDescent="0.2">
      <c r="A889" s="1" t="s">
        <v>280</v>
      </c>
      <c r="B889" s="6" t="str">
        <f>"44146"</f>
        <v>44146</v>
      </c>
      <c r="C889" s="1" t="s">
        <v>12</v>
      </c>
      <c r="D889" s="1" t="s">
        <v>288</v>
      </c>
      <c r="E889" s="6" t="str">
        <f>"008"</f>
        <v>008</v>
      </c>
      <c r="F889" s="6">
        <v>2018</v>
      </c>
      <c r="G889" s="7">
        <v>8840200</v>
      </c>
      <c r="H889" s="7">
        <v>2599800</v>
      </c>
      <c r="I889" s="7">
        <v>6240400</v>
      </c>
    </row>
    <row r="890" spans="1:9" x14ac:dyDescent="0.2">
      <c r="A890" s="1" t="s">
        <v>280</v>
      </c>
      <c r="B890" s="6" t="str">
        <f>"44191"</f>
        <v>44191</v>
      </c>
      <c r="C890" s="1" t="s">
        <v>12</v>
      </c>
      <c r="D890" s="1" t="s">
        <v>33</v>
      </c>
      <c r="E890" s="6" t="str">
        <f>"003"</f>
        <v>003</v>
      </c>
      <c r="F890" s="6">
        <v>2015</v>
      </c>
      <c r="G890" s="7">
        <v>68983300</v>
      </c>
      <c r="H890" s="7">
        <v>1929200</v>
      </c>
      <c r="I890" s="7">
        <v>67054100</v>
      </c>
    </row>
    <row r="891" spans="1:9" x14ac:dyDescent="0.2">
      <c r="A891" s="1" t="s">
        <v>280</v>
      </c>
      <c r="B891" s="6" t="str">
        <f>"44191"</f>
        <v>44191</v>
      </c>
      <c r="C891" s="1" t="s">
        <v>12</v>
      </c>
      <c r="D891" s="1" t="s">
        <v>33</v>
      </c>
      <c r="E891" s="6" t="str">
        <f>"004"</f>
        <v>004</v>
      </c>
      <c r="F891" s="6">
        <v>2016</v>
      </c>
      <c r="G891" s="7">
        <v>49966100</v>
      </c>
      <c r="H891" s="7">
        <v>1087500</v>
      </c>
      <c r="I891" s="7">
        <v>48878600</v>
      </c>
    </row>
    <row r="892" spans="1:9" x14ac:dyDescent="0.2">
      <c r="A892" s="1" t="s">
        <v>280</v>
      </c>
      <c r="B892" s="6" t="str">
        <f t="shared" ref="B892:B897" si="38">"44201"</f>
        <v>44201</v>
      </c>
      <c r="C892" s="1" t="s">
        <v>8</v>
      </c>
      <c r="D892" s="1" t="s">
        <v>47</v>
      </c>
      <c r="E892" s="6" t="str">
        <f>"003"</f>
        <v>003</v>
      </c>
      <c r="F892" s="6">
        <v>1993</v>
      </c>
      <c r="G892" s="7">
        <v>84829700</v>
      </c>
      <c r="H892" s="7">
        <v>10526000</v>
      </c>
      <c r="I892" s="7">
        <v>74303700</v>
      </c>
    </row>
    <row r="893" spans="1:9" x14ac:dyDescent="0.2">
      <c r="A893" s="1" t="s">
        <v>280</v>
      </c>
      <c r="B893" s="6" t="str">
        <f t="shared" si="38"/>
        <v>44201</v>
      </c>
      <c r="C893" s="1" t="s">
        <v>8</v>
      </c>
      <c r="D893" s="1" t="s">
        <v>47</v>
      </c>
      <c r="E893" s="6" t="str">
        <f>"008"</f>
        <v>008</v>
      </c>
      <c r="F893" s="6">
        <v>2009</v>
      </c>
      <c r="G893" s="7">
        <v>104610300</v>
      </c>
      <c r="H893" s="7">
        <v>5665700</v>
      </c>
      <c r="I893" s="7">
        <v>98944600</v>
      </c>
    </row>
    <row r="894" spans="1:9" x14ac:dyDescent="0.2">
      <c r="A894" s="1" t="s">
        <v>280</v>
      </c>
      <c r="B894" s="6" t="str">
        <f t="shared" si="38"/>
        <v>44201</v>
      </c>
      <c r="C894" s="1" t="s">
        <v>8</v>
      </c>
      <c r="D894" s="1" t="s">
        <v>47</v>
      </c>
      <c r="E894" s="6" t="str">
        <f>"009"</f>
        <v>009</v>
      </c>
      <c r="F894" s="6">
        <v>2013</v>
      </c>
      <c r="G894" s="7">
        <v>21806800</v>
      </c>
      <c r="H894" s="7">
        <v>15525200</v>
      </c>
      <c r="I894" s="7">
        <v>6281600</v>
      </c>
    </row>
    <row r="895" spans="1:9" x14ac:dyDescent="0.2">
      <c r="A895" s="1" t="s">
        <v>280</v>
      </c>
      <c r="B895" s="6" t="str">
        <f t="shared" si="38"/>
        <v>44201</v>
      </c>
      <c r="C895" s="1" t="s">
        <v>8</v>
      </c>
      <c r="D895" s="1" t="s">
        <v>47</v>
      </c>
      <c r="E895" s="6" t="str">
        <f>"010"</f>
        <v>010</v>
      </c>
      <c r="F895" s="6">
        <v>2013</v>
      </c>
      <c r="G895" s="7">
        <v>23547900</v>
      </c>
      <c r="H895" s="7">
        <v>23547900</v>
      </c>
      <c r="I895" s="7">
        <v>0</v>
      </c>
    </row>
    <row r="896" spans="1:9" x14ac:dyDescent="0.2">
      <c r="A896" s="1" t="s">
        <v>280</v>
      </c>
      <c r="B896" s="6" t="str">
        <f t="shared" si="38"/>
        <v>44201</v>
      </c>
      <c r="C896" s="1" t="s">
        <v>8</v>
      </c>
      <c r="D896" s="1" t="s">
        <v>47</v>
      </c>
      <c r="E896" s="6" t="str">
        <f>"011"</f>
        <v>011</v>
      </c>
      <c r="F896" s="6">
        <v>2017</v>
      </c>
      <c r="G896" s="7">
        <v>189074400</v>
      </c>
      <c r="H896" s="7">
        <v>85469800</v>
      </c>
      <c r="I896" s="7">
        <v>103604600</v>
      </c>
    </row>
    <row r="897" spans="1:9" x14ac:dyDescent="0.2">
      <c r="A897" s="1" t="s">
        <v>280</v>
      </c>
      <c r="B897" s="6" t="str">
        <f t="shared" si="38"/>
        <v>44201</v>
      </c>
      <c r="C897" s="1" t="s">
        <v>8</v>
      </c>
      <c r="D897" s="1" t="s">
        <v>47</v>
      </c>
      <c r="E897" s="6" t="str">
        <f>"012"</f>
        <v>012</v>
      </c>
      <c r="F897" s="6">
        <v>2017</v>
      </c>
      <c r="G897" s="7">
        <v>49505500</v>
      </c>
      <c r="H897" s="7">
        <v>28929600</v>
      </c>
      <c r="I897" s="7">
        <v>20575900</v>
      </c>
    </row>
    <row r="898" spans="1:9" x14ac:dyDescent="0.2">
      <c r="A898" s="1" t="s">
        <v>280</v>
      </c>
      <c r="B898" s="6" t="str">
        <f t="shared" ref="B898:B906" si="39">"44241"</f>
        <v>44241</v>
      </c>
      <c r="C898" s="1" t="s">
        <v>8</v>
      </c>
      <c r="D898" s="1" t="s">
        <v>289</v>
      </c>
      <c r="E898" s="6" t="str">
        <f>"001E"</f>
        <v>001E</v>
      </c>
      <c r="F898" s="6">
        <v>2005</v>
      </c>
      <c r="G898" s="7">
        <v>7792000</v>
      </c>
      <c r="H898" s="7">
        <v>32800</v>
      </c>
      <c r="I898" s="7">
        <v>7759200</v>
      </c>
    </row>
    <row r="899" spans="1:9" x14ac:dyDescent="0.2">
      <c r="A899" s="1" t="s">
        <v>280</v>
      </c>
      <c r="B899" s="6" t="str">
        <f t="shared" si="39"/>
        <v>44241</v>
      </c>
      <c r="C899" s="1" t="s">
        <v>8</v>
      </c>
      <c r="D899" s="1" t="s">
        <v>289</v>
      </c>
      <c r="E899" s="6" t="str">
        <f>"004"</f>
        <v>004</v>
      </c>
      <c r="F899" s="6">
        <v>2000</v>
      </c>
      <c r="G899" s="7">
        <v>23307800</v>
      </c>
      <c r="H899" s="7">
        <v>15252700</v>
      </c>
      <c r="I899" s="7">
        <v>8055100</v>
      </c>
    </row>
    <row r="900" spans="1:9" x14ac:dyDescent="0.2">
      <c r="A900" s="1" t="s">
        <v>280</v>
      </c>
      <c r="B900" s="6" t="str">
        <f t="shared" si="39"/>
        <v>44241</v>
      </c>
      <c r="C900" s="1" t="s">
        <v>8</v>
      </c>
      <c r="D900" s="1" t="s">
        <v>289</v>
      </c>
      <c r="E900" s="6" t="str">
        <f>"005"</f>
        <v>005</v>
      </c>
      <c r="F900" s="6">
        <v>2003</v>
      </c>
      <c r="G900" s="7">
        <v>42414000</v>
      </c>
      <c r="H900" s="7">
        <v>1077900</v>
      </c>
      <c r="I900" s="7">
        <v>41336100</v>
      </c>
    </row>
    <row r="901" spans="1:9" x14ac:dyDescent="0.2">
      <c r="A901" s="1" t="s">
        <v>280</v>
      </c>
      <c r="B901" s="6" t="str">
        <f t="shared" si="39"/>
        <v>44241</v>
      </c>
      <c r="C901" s="1" t="s">
        <v>8</v>
      </c>
      <c r="D901" s="1" t="s">
        <v>289</v>
      </c>
      <c r="E901" s="6" t="str">
        <f>"006"</f>
        <v>006</v>
      </c>
      <c r="F901" s="6">
        <v>2006</v>
      </c>
      <c r="G901" s="7">
        <v>66395200</v>
      </c>
      <c r="H901" s="7">
        <v>2726900</v>
      </c>
      <c r="I901" s="7">
        <v>63668300</v>
      </c>
    </row>
    <row r="902" spans="1:9" x14ac:dyDescent="0.2">
      <c r="A902" s="1" t="s">
        <v>280</v>
      </c>
      <c r="B902" s="6" t="str">
        <f t="shared" si="39"/>
        <v>44241</v>
      </c>
      <c r="C902" s="1" t="s">
        <v>8</v>
      </c>
      <c r="D902" s="1" t="s">
        <v>289</v>
      </c>
      <c r="E902" s="6" t="str">
        <f>"008"</f>
        <v>008</v>
      </c>
      <c r="F902" s="6">
        <v>2013</v>
      </c>
      <c r="G902" s="7">
        <v>7751300</v>
      </c>
      <c r="H902" s="7">
        <v>2571200</v>
      </c>
      <c r="I902" s="7">
        <v>5180100</v>
      </c>
    </row>
    <row r="903" spans="1:9" x14ac:dyDescent="0.2">
      <c r="A903" s="1" t="s">
        <v>280</v>
      </c>
      <c r="B903" s="6" t="str">
        <f t="shared" si="39"/>
        <v>44241</v>
      </c>
      <c r="C903" s="1" t="s">
        <v>8</v>
      </c>
      <c r="D903" s="1" t="s">
        <v>289</v>
      </c>
      <c r="E903" s="6" t="str">
        <f>"009"</f>
        <v>009</v>
      </c>
      <c r="F903" s="6">
        <v>2016</v>
      </c>
      <c r="G903" s="7">
        <v>3173700</v>
      </c>
      <c r="H903" s="7">
        <v>1259700</v>
      </c>
      <c r="I903" s="7">
        <v>1914000</v>
      </c>
    </row>
    <row r="904" spans="1:9" x14ac:dyDescent="0.2">
      <c r="A904" s="1" t="s">
        <v>280</v>
      </c>
      <c r="B904" s="6" t="str">
        <f t="shared" si="39"/>
        <v>44241</v>
      </c>
      <c r="C904" s="1" t="s">
        <v>8</v>
      </c>
      <c r="D904" s="1" t="s">
        <v>289</v>
      </c>
      <c r="E904" s="6" t="str">
        <f>"010"</f>
        <v>010</v>
      </c>
      <c r="F904" s="6">
        <v>2019</v>
      </c>
      <c r="G904" s="7">
        <v>18011900</v>
      </c>
      <c r="H904" s="7">
        <v>6040500</v>
      </c>
      <c r="I904" s="7">
        <v>11971400</v>
      </c>
    </row>
    <row r="905" spans="1:9" x14ac:dyDescent="0.2">
      <c r="A905" s="1" t="s">
        <v>280</v>
      </c>
      <c r="B905" s="6" t="str">
        <f t="shared" si="39"/>
        <v>44241</v>
      </c>
      <c r="C905" s="1" t="s">
        <v>8</v>
      </c>
      <c r="D905" s="1" t="s">
        <v>289</v>
      </c>
      <c r="E905" s="6" t="str">
        <f>"011"</f>
        <v>011</v>
      </c>
      <c r="F905" s="6">
        <v>2021</v>
      </c>
      <c r="G905" s="7">
        <v>23415400</v>
      </c>
      <c r="H905" s="7">
        <v>14546000</v>
      </c>
      <c r="I905" s="7">
        <v>8869400</v>
      </c>
    </row>
    <row r="906" spans="1:9" x14ac:dyDescent="0.2">
      <c r="A906" s="1" t="s">
        <v>280</v>
      </c>
      <c r="B906" s="6" t="str">
        <f t="shared" si="39"/>
        <v>44241</v>
      </c>
      <c r="C906" s="1" t="s">
        <v>8</v>
      </c>
      <c r="D906" s="1" t="s">
        <v>289</v>
      </c>
      <c r="E906" s="6" t="str">
        <f>"012"</f>
        <v>012</v>
      </c>
      <c r="F906" s="6">
        <v>2023</v>
      </c>
      <c r="G906" s="7">
        <v>19740900</v>
      </c>
      <c r="H906" s="7">
        <v>19313600</v>
      </c>
      <c r="I906" s="7">
        <v>427300</v>
      </c>
    </row>
    <row r="907" spans="1:9" x14ac:dyDescent="0.2">
      <c r="A907" s="1" t="s">
        <v>280</v>
      </c>
      <c r="B907" s="6" t="str">
        <f>"44261"</f>
        <v>44261</v>
      </c>
      <c r="C907" s="1" t="s">
        <v>8</v>
      </c>
      <c r="D907" s="1" t="s">
        <v>290</v>
      </c>
      <c r="E907" s="6" t="str">
        <f>"006"</f>
        <v>006</v>
      </c>
      <c r="F907" s="6">
        <v>2022</v>
      </c>
      <c r="G907" s="7">
        <v>5866700</v>
      </c>
      <c r="H907" s="7">
        <v>3663100</v>
      </c>
      <c r="I907" s="7">
        <v>2203600</v>
      </c>
    </row>
    <row r="908" spans="1:9" x14ac:dyDescent="0.2">
      <c r="A908" s="1" t="s">
        <v>280</v>
      </c>
      <c r="B908" s="6" t="str">
        <f>"44281"</f>
        <v>44281</v>
      </c>
      <c r="C908" s="1" t="s">
        <v>8</v>
      </c>
      <c r="D908" s="1" t="s">
        <v>291</v>
      </c>
      <c r="E908" s="6" t="str">
        <f>"003"</f>
        <v>003</v>
      </c>
      <c r="F908" s="6">
        <v>2001</v>
      </c>
      <c r="G908" s="7">
        <v>40667000</v>
      </c>
      <c r="H908" s="7">
        <v>4544000</v>
      </c>
      <c r="I908" s="7">
        <v>36123000</v>
      </c>
    </row>
    <row r="909" spans="1:9" x14ac:dyDescent="0.2">
      <c r="A909" s="1" t="s">
        <v>280</v>
      </c>
      <c r="B909" s="6" t="str">
        <f>"44281"</f>
        <v>44281</v>
      </c>
      <c r="C909" s="1" t="s">
        <v>8</v>
      </c>
      <c r="D909" s="1" t="s">
        <v>291</v>
      </c>
      <c r="E909" s="6" t="str">
        <f>"004"</f>
        <v>004</v>
      </c>
      <c r="F909" s="6">
        <v>2011</v>
      </c>
      <c r="G909" s="7">
        <v>12497700</v>
      </c>
      <c r="H909" s="7">
        <v>5133400</v>
      </c>
      <c r="I909" s="7">
        <v>7364300</v>
      </c>
    </row>
    <row r="910" spans="1:9" x14ac:dyDescent="0.2">
      <c r="A910" s="1" t="s">
        <v>280</v>
      </c>
      <c r="B910" s="6" t="str">
        <f>"44281"</f>
        <v>44281</v>
      </c>
      <c r="C910" s="1" t="s">
        <v>8</v>
      </c>
      <c r="D910" s="1" t="s">
        <v>291</v>
      </c>
      <c r="E910" s="6" t="str">
        <f>"005"</f>
        <v>005</v>
      </c>
      <c r="F910" s="6">
        <v>2022</v>
      </c>
      <c r="G910" s="7">
        <v>7526700</v>
      </c>
      <c r="H910" s="7">
        <v>2637100</v>
      </c>
      <c r="I910" s="7">
        <v>4889600</v>
      </c>
    </row>
    <row r="911" spans="1:9" x14ac:dyDescent="0.2">
      <c r="A911" s="1" t="s">
        <v>292</v>
      </c>
      <c r="B911" s="6" t="str">
        <f>"45126"</f>
        <v>45126</v>
      </c>
      <c r="C911" s="1" t="s">
        <v>12</v>
      </c>
      <c r="D911" s="1" t="s">
        <v>293</v>
      </c>
      <c r="E911" s="6" t="str">
        <f>"003"</f>
        <v>003</v>
      </c>
      <c r="F911" s="6">
        <v>2021</v>
      </c>
      <c r="G911" s="7">
        <v>11312900</v>
      </c>
      <c r="H911" s="7">
        <v>2886700</v>
      </c>
      <c r="I911" s="7">
        <v>8426200</v>
      </c>
    </row>
    <row r="912" spans="1:9" x14ac:dyDescent="0.2">
      <c r="A912" s="1" t="s">
        <v>292</v>
      </c>
      <c r="B912" s="6" t="str">
        <f>"45131"</f>
        <v>45131</v>
      </c>
      <c r="C912" s="1" t="s">
        <v>12</v>
      </c>
      <c r="D912" s="1" t="s">
        <v>294</v>
      </c>
      <c r="E912" s="6" t="str">
        <f>"003"</f>
        <v>003</v>
      </c>
      <c r="F912" s="6">
        <v>1999</v>
      </c>
      <c r="G912" s="7">
        <v>104306500</v>
      </c>
      <c r="H912" s="7">
        <v>21039900</v>
      </c>
      <c r="I912" s="7">
        <v>83266600</v>
      </c>
    </row>
    <row r="913" spans="1:9" x14ac:dyDescent="0.2">
      <c r="A913" s="1" t="s">
        <v>292</v>
      </c>
      <c r="B913" s="6" t="str">
        <f>"45131"</f>
        <v>45131</v>
      </c>
      <c r="C913" s="1" t="s">
        <v>12</v>
      </c>
      <c r="D913" s="1" t="s">
        <v>294</v>
      </c>
      <c r="E913" s="6" t="str">
        <f>"004"</f>
        <v>004</v>
      </c>
      <c r="F913" s="6">
        <v>2004</v>
      </c>
      <c r="G913" s="7">
        <v>122132100</v>
      </c>
      <c r="H913" s="7">
        <v>47847400</v>
      </c>
      <c r="I913" s="7">
        <v>74284700</v>
      </c>
    </row>
    <row r="914" spans="1:9" x14ac:dyDescent="0.2">
      <c r="A914" s="1" t="s">
        <v>292</v>
      </c>
      <c r="B914" s="6" t="str">
        <f>"45131"</f>
        <v>45131</v>
      </c>
      <c r="C914" s="1" t="s">
        <v>12</v>
      </c>
      <c r="D914" s="1" t="s">
        <v>294</v>
      </c>
      <c r="E914" s="6" t="str">
        <f>"005"</f>
        <v>005</v>
      </c>
      <c r="F914" s="6">
        <v>2006</v>
      </c>
      <c r="G914" s="7">
        <v>63000000</v>
      </c>
      <c r="H914" s="7">
        <v>493500</v>
      </c>
      <c r="I914" s="7">
        <v>62506500</v>
      </c>
    </row>
    <row r="915" spans="1:9" x14ac:dyDescent="0.2">
      <c r="A915" s="1" t="s">
        <v>292</v>
      </c>
      <c r="B915" s="6" t="str">
        <f>"45131"</f>
        <v>45131</v>
      </c>
      <c r="C915" s="1" t="s">
        <v>12</v>
      </c>
      <c r="D915" s="1" t="s">
        <v>294</v>
      </c>
      <c r="E915" s="6" t="str">
        <f>"006"</f>
        <v>006</v>
      </c>
      <c r="F915" s="6">
        <v>2024</v>
      </c>
      <c r="G915" s="7">
        <v>18718600</v>
      </c>
      <c r="H915" s="7">
        <v>18228100</v>
      </c>
      <c r="I915" s="7">
        <v>490500</v>
      </c>
    </row>
    <row r="916" spans="1:9" x14ac:dyDescent="0.2">
      <c r="A916" s="1" t="s">
        <v>292</v>
      </c>
      <c r="B916" s="6" t="str">
        <f>"45181"</f>
        <v>45181</v>
      </c>
      <c r="C916" s="1" t="s">
        <v>12</v>
      </c>
      <c r="D916" s="1" t="s">
        <v>295</v>
      </c>
      <c r="E916" s="6" t="str">
        <f>"004"</f>
        <v>004</v>
      </c>
      <c r="F916" s="6">
        <v>2006</v>
      </c>
      <c r="G916" s="7">
        <v>12614500</v>
      </c>
      <c r="H916" s="7">
        <v>1600100</v>
      </c>
      <c r="I916" s="7">
        <v>11014400</v>
      </c>
    </row>
    <row r="917" spans="1:9" x14ac:dyDescent="0.2">
      <c r="A917" s="1" t="s">
        <v>292</v>
      </c>
      <c r="B917" s="6" t="str">
        <f>"45181"</f>
        <v>45181</v>
      </c>
      <c r="C917" s="1" t="s">
        <v>12</v>
      </c>
      <c r="D917" s="1" t="s">
        <v>295</v>
      </c>
      <c r="E917" s="6" t="str">
        <f>"005"</f>
        <v>005</v>
      </c>
      <c r="F917" s="6">
        <v>2022</v>
      </c>
      <c r="G917" s="7">
        <v>25539700</v>
      </c>
      <c r="H917" s="7">
        <v>31400</v>
      </c>
      <c r="I917" s="7">
        <v>25508300</v>
      </c>
    </row>
    <row r="918" spans="1:9" x14ac:dyDescent="0.2">
      <c r="A918" s="1" t="s">
        <v>292</v>
      </c>
      <c r="B918" s="6" t="str">
        <f>"45181"</f>
        <v>45181</v>
      </c>
      <c r="C918" s="1" t="s">
        <v>12</v>
      </c>
      <c r="D918" s="1" t="s">
        <v>295</v>
      </c>
      <c r="E918" s="6" t="str">
        <f>"006"</f>
        <v>006</v>
      </c>
      <c r="F918" s="6">
        <v>2023</v>
      </c>
      <c r="G918" s="7">
        <v>47424000</v>
      </c>
      <c r="H918" s="7">
        <v>2398100</v>
      </c>
      <c r="I918" s="7">
        <v>45025900</v>
      </c>
    </row>
    <row r="919" spans="1:9" x14ac:dyDescent="0.2">
      <c r="A919" s="1" t="s">
        <v>292</v>
      </c>
      <c r="B919" s="6" t="str">
        <f>"45186"</f>
        <v>45186</v>
      </c>
      <c r="C919" s="1" t="s">
        <v>12</v>
      </c>
      <c r="D919" s="1" t="s">
        <v>296</v>
      </c>
      <c r="E919" s="6" t="str">
        <f>"002"</f>
        <v>002</v>
      </c>
      <c r="F919" s="6">
        <v>2020</v>
      </c>
      <c r="G919" s="7">
        <v>12518400</v>
      </c>
      <c r="H919" s="7">
        <v>12683400</v>
      </c>
      <c r="I919" s="7">
        <v>-165000</v>
      </c>
    </row>
    <row r="920" spans="1:9" x14ac:dyDescent="0.2">
      <c r="A920" s="1" t="s">
        <v>292</v>
      </c>
      <c r="B920" s="6" t="str">
        <f>"45211"</f>
        <v>45211</v>
      </c>
      <c r="C920" s="1" t="s">
        <v>8</v>
      </c>
      <c r="D920" s="1" t="s">
        <v>297</v>
      </c>
      <c r="E920" s="6" t="str">
        <f>"003"</f>
        <v>003</v>
      </c>
      <c r="F920" s="6">
        <v>2015</v>
      </c>
      <c r="G920" s="7">
        <v>4344200</v>
      </c>
      <c r="H920" s="7">
        <v>282500</v>
      </c>
      <c r="I920" s="7">
        <v>4061700</v>
      </c>
    </row>
    <row r="921" spans="1:9" x14ac:dyDescent="0.2">
      <c r="A921" s="1" t="s">
        <v>292</v>
      </c>
      <c r="B921" s="6" t="str">
        <f>"45211"</f>
        <v>45211</v>
      </c>
      <c r="C921" s="1" t="s">
        <v>8</v>
      </c>
      <c r="D921" s="1" t="s">
        <v>297</v>
      </c>
      <c r="E921" s="6" t="str">
        <f>"004"</f>
        <v>004</v>
      </c>
      <c r="F921" s="6">
        <v>2018</v>
      </c>
      <c r="G921" s="7">
        <v>347000</v>
      </c>
      <c r="H921" s="7">
        <v>600</v>
      </c>
      <c r="I921" s="7">
        <v>346400</v>
      </c>
    </row>
    <row r="922" spans="1:9" x14ac:dyDescent="0.2">
      <c r="A922" s="1" t="s">
        <v>292</v>
      </c>
      <c r="B922" s="6" t="str">
        <f>"45211"</f>
        <v>45211</v>
      </c>
      <c r="C922" s="1" t="s">
        <v>8</v>
      </c>
      <c r="D922" s="1" t="s">
        <v>297</v>
      </c>
      <c r="E922" s="6" t="str">
        <f>"005"</f>
        <v>005</v>
      </c>
      <c r="F922" s="6">
        <v>2018</v>
      </c>
      <c r="G922" s="7">
        <v>16298400</v>
      </c>
      <c r="H922" s="7">
        <v>934200</v>
      </c>
      <c r="I922" s="7">
        <v>15364200</v>
      </c>
    </row>
    <row r="923" spans="1:9" x14ac:dyDescent="0.2">
      <c r="A923" s="1" t="s">
        <v>292</v>
      </c>
      <c r="B923" s="6" t="str">
        <f>"45211"</f>
        <v>45211</v>
      </c>
      <c r="C923" s="1" t="s">
        <v>8</v>
      </c>
      <c r="D923" s="1" t="s">
        <v>297</v>
      </c>
      <c r="E923" s="6" t="str">
        <f>"006"</f>
        <v>006</v>
      </c>
      <c r="F923" s="6">
        <v>2020</v>
      </c>
      <c r="G923" s="7">
        <v>22308400</v>
      </c>
      <c r="H923" s="7">
        <v>0</v>
      </c>
      <c r="I923" s="7">
        <v>22308400</v>
      </c>
    </row>
    <row r="924" spans="1:9" x14ac:dyDescent="0.2">
      <c r="A924" s="1" t="s">
        <v>292</v>
      </c>
      <c r="B924" s="6" t="str">
        <f>"45211"</f>
        <v>45211</v>
      </c>
      <c r="C924" s="1" t="s">
        <v>8</v>
      </c>
      <c r="D924" s="1" t="s">
        <v>297</v>
      </c>
      <c r="E924" s="6" t="str">
        <f>"007"</f>
        <v>007</v>
      </c>
      <c r="F924" s="6">
        <v>2022</v>
      </c>
      <c r="G924" s="7">
        <v>71118800</v>
      </c>
      <c r="H924" s="7">
        <v>1799600</v>
      </c>
      <c r="I924" s="7">
        <v>69319200</v>
      </c>
    </row>
    <row r="925" spans="1:9" x14ac:dyDescent="0.2">
      <c r="A925" s="1" t="s">
        <v>292</v>
      </c>
      <c r="B925" s="6" t="str">
        <f>"45255"</f>
        <v>45255</v>
      </c>
      <c r="C925" s="1" t="s">
        <v>8</v>
      </c>
      <c r="D925" s="1" t="s">
        <v>298</v>
      </c>
      <c r="E925" s="6" t="str">
        <f>"003"</f>
        <v>003</v>
      </c>
      <c r="F925" s="6">
        <v>2008</v>
      </c>
      <c r="G925" s="7">
        <v>231506000</v>
      </c>
      <c r="H925" s="7">
        <v>38521400</v>
      </c>
      <c r="I925" s="7">
        <v>192984600</v>
      </c>
    </row>
    <row r="926" spans="1:9" x14ac:dyDescent="0.2">
      <c r="A926" s="1" t="s">
        <v>292</v>
      </c>
      <c r="B926" s="6" t="str">
        <f>"45255"</f>
        <v>45255</v>
      </c>
      <c r="C926" s="1" t="s">
        <v>8</v>
      </c>
      <c r="D926" s="1" t="s">
        <v>298</v>
      </c>
      <c r="E926" s="6" t="str">
        <f>"004"</f>
        <v>004</v>
      </c>
      <c r="F926" s="6">
        <v>2012</v>
      </c>
      <c r="G926" s="7">
        <v>60218100</v>
      </c>
      <c r="H926" s="7">
        <v>37434600</v>
      </c>
      <c r="I926" s="7">
        <v>22783500</v>
      </c>
    </row>
    <row r="927" spans="1:9" x14ac:dyDescent="0.2">
      <c r="A927" s="1" t="s">
        <v>292</v>
      </c>
      <c r="B927" s="6" t="str">
        <f>"45255"</f>
        <v>45255</v>
      </c>
      <c r="C927" s="1" t="s">
        <v>8</v>
      </c>
      <c r="D927" s="1" t="s">
        <v>298</v>
      </c>
      <c r="E927" s="6" t="str">
        <f>"005"</f>
        <v>005</v>
      </c>
      <c r="F927" s="6">
        <v>2012</v>
      </c>
      <c r="G927" s="7">
        <v>76218200</v>
      </c>
      <c r="H927" s="7">
        <v>47641900</v>
      </c>
      <c r="I927" s="7">
        <v>28576300</v>
      </c>
    </row>
    <row r="928" spans="1:9" x14ac:dyDescent="0.2">
      <c r="A928" s="1" t="s">
        <v>292</v>
      </c>
      <c r="B928" s="6" t="str">
        <f>"45271"</f>
        <v>45271</v>
      </c>
      <c r="C928" s="1" t="s">
        <v>8</v>
      </c>
      <c r="D928" s="1" t="s">
        <v>299</v>
      </c>
      <c r="E928" s="6" t="str">
        <f>"002"</f>
        <v>002</v>
      </c>
      <c r="F928" s="6">
        <v>2010</v>
      </c>
      <c r="G928" s="7">
        <v>83401200</v>
      </c>
      <c r="H928" s="7">
        <v>14787800</v>
      </c>
      <c r="I928" s="7">
        <v>68613400</v>
      </c>
    </row>
    <row r="929" spans="1:9" x14ac:dyDescent="0.2">
      <c r="A929" s="1" t="s">
        <v>292</v>
      </c>
      <c r="B929" s="6" t="str">
        <f>"45271"</f>
        <v>45271</v>
      </c>
      <c r="C929" s="1" t="s">
        <v>8</v>
      </c>
      <c r="D929" s="1" t="s">
        <v>299</v>
      </c>
      <c r="E929" s="6" t="str">
        <f>"003"</f>
        <v>003</v>
      </c>
      <c r="F929" s="6">
        <v>2015</v>
      </c>
      <c r="G929" s="7">
        <v>19898400</v>
      </c>
      <c r="H929" s="7">
        <v>8863600</v>
      </c>
      <c r="I929" s="7">
        <v>11034800</v>
      </c>
    </row>
    <row r="930" spans="1:9" x14ac:dyDescent="0.2">
      <c r="A930" s="1" t="s">
        <v>292</v>
      </c>
      <c r="B930" s="6" t="str">
        <f>"45271"</f>
        <v>45271</v>
      </c>
      <c r="C930" s="1" t="s">
        <v>8</v>
      </c>
      <c r="D930" s="1" t="s">
        <v>299</v>
      </c>
      <c r="E930" s="6" t="str">
        <f>"004"</f>
        <v>004</v>
      </c>
      <c r="F930" s="6">
        <v>2020</v>
      </c>
      <c r="G930" s="7">
        <v>3656900</v>
      </c>
      <c r="H930" s="7">
        <v>0</v>
      </c>
      <c r="I930" s="7">
        <v>3656900</v>
      </c>
    </row>
    <row r="931" spans="1:9" x14ac:dyDescent="0.2">
      <c r="A931" s="1" t="s">
        <v>300</v>
      </c>
      <c r="B931" s="6" t="str">
        <f>"46171"</f>
        <v>46171</v>
      </c>
      <c r="C931" s="1" t="s">
        <v>12</v>
      </c>
      <c r="D931" s="1" t="s">
        <v>300</v>
      </c>
      <c r="E931" s="6" t="str">
        <f>"003"</f>
        <v>003</v>
      </c>
      <c r="F931" s="6">
        <v>2011</v>
      </c>
      <c r="G931" s="7">
        <v>22638700</v>
      </c>
      <c r="H931" s="7">
        <v>4820700</v>
      </c>
      <c r="I931" s="7">
        <v>17818000</v>
      </c>
    </row>
    <row r="932" spans="1:9" x14ac:dyDescent="0.2">
      <c r="A932" s="1" t="s">
        <v>300</v>
      </c>
      <c r="B932" s="6" t="str">
        <f>"46171"</f>
        <v>46171</v>
      </c>
      <c r="C932" s="1" t="s">
        <v>12</v>
      </c>
      <c r="D932" s="1" t="s">
        <v>300</v>
      </c>
      <c r="E932" s="6" t="str">
        <f>"004"</f>
        <v>004</v>
      </c>
      <c r="F932" s="6">
        <v>2021</v>
      </c>
      <c r="G932" s="7">
        <v>3188000</v>
      </c>
      <c r="H932" s="7">
        <v>1475600</v>
      </c>
      <c r="I932" s="7">
        <v>1712400</v>
      </c>
    </row>
    <row r="933" spans="1:9" x14ac:dyDescent="0.2">
      <c r="A933" s="1" t="s">
        <v>300</v>
      </c>
      <c r="B933" s="6" t="str">
        <f>"46171"</f>
        <v>46171</v>
      </c>
      <c r="C933" s="1" t="s">
        <v>12</v>
      </c>
      <c r="D933" s="1" t="s">
        <v>300</v>
      </c>
      <c r="E933" s="6" t="str">
        <f>"005"</f>
        <v>005</v>
      </c>
      <c r="F933" s="6">
        <v>2021</v>
      </c>
      <c r="G933" s="7">
        <v>3286100</v>
      </c>
      <c r="H933" s="7">
        <v>1938000</v>
      </c>
      <c r="I933" s="7">
        <v>1348100</v>
      </c>
    </row>
    <row r="934" spans="1:9" x14ac:dyDescent="0.2">
      <c r="A934" s="1" t="s">
        <v>300</v>
      </c>
      <c r="B934" s="6" t="str">
        <f>"46171"</f>
        <v>46171</v>
      </c>
      <c r="C934" s="1" t="s">
        <v>12</v>
      </c>
      <c r="D934" s="1" t="s">
        <v>300</v>
      </c>
      <c r="E934" s="6" t="str">
        <f>"006"</f>
        <v>006</v>
      </c>
      <c r="F934" s="6">
        <v>2021</v>
      </c>
      <c r="G934" s="7">
        <v>2809600</v>
      </c>
      <c r="H934" s="7">
        <v>1642000</v>
      </c>
      <c r="I934" s="7">
        <v>1167600</v>
      </c>
    </row>
    <row r="935" spans="1:9" x14ac:dyDescent="0.2">
      <c r="A935" s="1" t="s">
        <v>300</v>
      </c>
      <c r="B935" s="6" t="str">
        <f>"46171"</f>
        <v>46171</v>
      </c>
      <c r="C935" s="1" t="s">
        <v>12</v>
      </c>
      <c r="D935" s="1" t="s">
        <v>300</v>
      </c>
      <c r="E935" s="6" t="str">
        <f>"007"</f>
        <v>007</v>
      </c>
      <c r="F935" s="6">
        <v>2021</v>
      </c>
      <c r="G935" s="7">
        <v>3732100</v>
      </c>
      <c r="H935" s="7">
        <v>1947200</v>
      </c>
      <c r="I935" s="7">
        <v>1784900</v>
      </c>
    </row>
    <row r="936" spans="1:9" x14ac:dyDescent="0.2">
      <c r="A936" s="1" t="s">
        <v>300</v>
      </c>
      <c r="B936" s="6" t="str">
        <f>"46216"</f>
        <v>46216</v>
      </c>
      <c r="C936" s="1" t="s">
        <v>8</v>
      </c>
      <c r="D936" s="1" t="s">
        <v>301</v>
      </c>
      <c r="E936" s="6" t="str">
        <f>"003"</f>
        <v>003</v>
      </c>
      <c r="F936" s="6">
        <v>2007</v>
      </c>
      <c r="G936" s="7">
        <v>25358600</v>
      </c>
      <c r="H936" s="7">
        <v>10391700</v>
      </c>
      <c r="I936" s="7">
        <v>14966900</v>
      </c>
    </row>
    <row r="937" spans="1:9" x14ac:dyDescent="0.2">
      <c r="A937" s="1" t="s">
        <v>302</v>
      </c>
      <c r="B937" s="6" t="str">
        <f t="shared" ref="B937:B944" si="40">"47121"</f>
        <v>47121</v>
      </c>
      <c r="C937" s="1" t="s">
        <v>12</v>
      </c>
      <c r="D937" s="1" t="s">
        <v>303</v>
      </c>
      <c r="E937" s="6" t="str">
        <f>"004"</f>
        <v>004</v>
      </c>
      <c r="F937" s="6">
        <v>1996</v>
      </c>
      <c r="G937" s="7">
        <v>905700</v>
      </c>
      <c r="H937" s="7">
        <v>54600</v>
      </c>
      <c r="I937" s="7">
        <v>851100</v>
      </c>
    </row>
    <row r="938" spans="1:9" x14ac:dyDescent="0.2">
      <c r="A938" s="1" t="s">
        <v>302</v>
      </c>
      <c r="B938" s="6" t="str">
        <f t="shared" si="40"/>
        <v>47121</v>
      </c>
      <c r="C938" s="1" t="s">
        <v>12</v>
      </c>
      <c r="D938" s="1" t="s">
        <v>303</v>
      </c>
      <c r="E938" s="6" t="str">
        <f>"007"</f>
        <v>007</v>
      </c>
      <c r="F938" s="6">
        <v>2006</v>
      </c>
      <c r="G938" s="7">
        <v>13886000</v>
      </c>
      <c r="H938" s="7">
        <v>217600</v>
      </c>
      <c r="I938" s="7">
        <v>13668400</v>
      </c>
    </row>
    <row r="939" spans="1:9" x14ac:dyDescent="0.2">
      <c r="A939" s="1" t="s">
        <v>302</v>
      </c>
      <c r="B939" s="6" t="str">
        <f t="shared" si="40"/>
        <v>47121</v>
      </c>
      <c r="C939" s="1" t="s">
        <v>12</v>
      </c>
      <c r="D939" s="1" t="s">
        <v>303</v>
      </c>
      <c r="E939" s="6" t="str">
        <f>"008"</f>
        <v>008</v>
      </c>
      <c r="F939" s="6">
        <v>2010</v>
      </c>
      <c r="G939" s="7">
        <v>8802600</v>
      </c>
      <c r="H939" s="7">
        <v>3773700</v>
      </c>
      <c r="I939" s="7">
        <v>5028900</v>
      </c>
    </row>
    <row r="940" spans="1:9" x14ac:dyDescent="0.2">
      <c r="A940" s="1" t="s">
        <v>302</v>
      </c>
      <c r="B940" s="6" t="str">
        <f t="shared" si="40"/>
        <v>47121</v>
      </c>
      <c r="C940" s="1" t="s">
        <v>12</v>
      </c>
      <c r="D940" s="1" t="s">
        <v>303</v>
      </c>
      <c r="E940" s="6" t="str">
        <f>"009"</f>
        <v>009</v>
      </c>
      <c r="F940" s="6">
        <v>2011</v>
      </c>
      <c r="G940" s="7">
        <v>4990100</v>
      </c>
      <c r="H940" s="7">
        <v>510400</v>
      </c>
      <c r="I940" s="7">
        <v>4479700</v>
      </c>
    </row>
    <row r="941" spans="1:9" x14ac:dyDescent="0.2">
      <c r="A941" s="1" t="s">
        <v>302</v>
      </c>
      <c r="B941" s="6" t="str">
        <f t="shared" si="40"/>
        <v>47121</v>
      </c>
      <c r="C941" s="1" t="s">
        <v>12</v>
      </c>
      <c r="D941" s="1" t="s">
        <v>303</v>
      </c>
      <c r="E941" s="6" t="str">
        <f>"010"</f>
        <v>010</v>
      </c>
      <c r="F941" s="6">
        <v>2012</v>
      </c>
      <c r="G941" s="7">
        <v>1772800</v>
      </c>
      <c r="H941" s="7">
        <v>827300</v>
      </c>
      <c r="I941" s="7">
        <v>945500</v>
      </c>
    </row>
    <row r="942" spans="1:9" x14ac:dyDescent="0.2">
      <c r="A942" s="1" t="s">
        <v>302</v>
      </c>
      <c r="B942" s="6" t="str">
        <f t="shared" si="40"/>
        <v>47121</v>
      </c>
      <c r="C942" s="1" t="s">
        <v>12</v>
      </c>
      <c r="D942" s="1" t="s">
        <v>303</v>
      </c>
      <c r="E942" s="6" t="str">
        <f>"011"</f>
        <v>011</v>
      </c>
      <c r="F942" s="6">
        <v>2013</v>
      </c>
      <c r="G942" s="7">
        <v>1450700</v>
      </c>
      <c r="H942" s="7">
        <v>1308200</v>
      </c>
      <c r="I942" s="7">
        <v>142500</v>
      </c>
    </row>
    <row r="943" spans="1:9" x14ac:dyDescent="0.2">
      <c r="A943" s="1" t="s">
        <v>302</v>
      </c>
      <c r="B943" s="6" t="str">
        <f t="shared" si="40"/>
        <v>47121</v>
      </c>
      <c r="C943" s="1" t="s">
        <v>12</v>
      </c>
      <c r="D943" s="1" t="s">
        <v>303</v>
      </c>
      <c r="E943" s="6" t="str">
        <f>"012"</f>
        <v>012</v>
      </c>
      <c r="F943" s="6">
        <v>2022</v>
      </c>
      <c r="G943" s="7">
        <v>0</v>
      </c>
      <c r="H943" s="7">
        <v>24200</v>
      </c>
      <c r="I943" s="7">
        <v>-24200</v>
      </c>
    </row>
    <row r="944" spans="1:9" x14ac:dyDescent="0.2">
      <c r="A944" s="1" t="s">
        <v>302</v>
      </c>
      <c r="B944" s="6" t="str">
        <f t="shared" si="40"/>
        <v>47121</v>
      </c>
      <c r="C944" s="1" t="s">
        <v>12</v>
      </c>
      <c r="D944" s="1" t="s">
        <v>303</v>
      </c>
      <c r="E944" s="6" t="str">
        <f>"013"</f>
        <v>013</v>
      </c>
      <c r="F944" s="6">
        <v>2024</v>
      </c>
      <c r="G944" s="7">
        <v>2631400</v>
      </c>
      <c r="H944" s="7">
        <v>2042500</v>
      </c>
      <c r="I944" s="7">
        <v>588900</v>
      </c>
    </row>
    <row r="945" spans="1:9" x14ac:dyDescent="0.2">
      <c r="A945" s="1" t="s">
        <v>302</v>
      </c>
      <c r="B945" s="6" t="str">
        <f>"47122"</f>
        <v>47122</v>
      </c>
      <c r="C945" s="1" t="s">
        <v>12</v>
      </c>
      <c r="D945" s="1" t="s">
        <v>304</v>
      </c>
      <c r="E945" s="6" t="str">
        <f>"005"</f>
        <v>005</v>
      </c>
      <c r="F945" s="6">
        <v>2007</v>
      </c>
      <c r="G945" s="7">
        <v>3870100</v>
      </c>
      <c r="H945" s="7">
        <v>373300</v>
      </c>
      <c r="I945" s="7">
        <v>3496800</v>
      </c>
    </row>
    <row r="946" spans="1:9" x14ac:dyDescent="0.2">
      <c r="A946" s="1" t="s">
        <v>302</v>
      </c>
      <c r="B946" s="6" t="str">
        <f>"47181"</f>
        <v>47181</v>
      </c>
      <c r="C946" s="1" t="s">
        <v>12</v>
      </c>
      <c r="D946" s="1" t="s">
        <v>305</v>
      </c>
      <c r="E946" s="6" t="str">
        <f>"002"</f>
        <v>002</v>
      </c>
      <c r="F946" s="6">
        <v>1995</v>
      </c>
      <c r="G946" s="7">
        <v>14612100</v>
      </c>
      <c r="H946" s="7">
        <v>83300</v>
      </c>
      <c r="I946" s="7">
        <v>14528800</v>
      </c>
    </row>
    <row r="947" spans="1:9" x14ac:dyDescent="0.2">
      <c r="A947" s="1" t="s">
        <v>302</v>
      </c>
      <c r="B947" s="6" t="str">
        <f>"47181"</f>
        <v>47181</v>
      </c>
      <c r="C947" s="1" t="s">
        <v>12</v>
      </c>
      <c r="D947" s="1" t="s">
        <v>305</v>
      </c>
      <c r="E947" s="6" t="str">
        <f>"003"</f>
        <v>003</v>
      </c>
      <c r="F947" s="6">
        <v>2007</v>
      </c>
      <c r="G947" s="7">
        <v>7475700</v>
      </c>
      <c r="H947" s="7">
        <v>2402900</v>
      </c>
      <c r="I947" s="7">
        <v>5072800</v>
      </c>
    </row>
    <row r="948" spans="1:9" x14ac:dyDescent="0.2">
      <c r="A948" s="1" t="s">
        <v>302</v>
      </c>
      <c r="B948" s="6" t="str">
        <f>"47271"</f>
        <v>47271</v>
      </c>
      <c r="C948" s="1" t="s">
        <v>8</v>
      </c>
      <c r="D948" s="1" t="s">
        <v>306</v>
      </c>
      <c r="E948" s="6" t="str">
        <f>"004"</f>
        <v>004</v>
      </c>
      <c r="F948" s="6">
        <v>2003</v>
      </c>
      <c r="G948" s="7">
        <v>43109400</v>
      </c>
      <c r="H948" s="7">
        <v>8340700</v>
      </c>
      <c r="I948" s="7">
        <v>34768700</v>
      </c>
    </row>
    <row r="949" spans="1:9" x14ac:dyDescent="0.2">
      <c r="A949" s="1" t="s">
        <v>302</v>
      </c>
      <c r="B949" s="6" t="str">
        <f>"47271"</f>
        <v>47271</v>
      </c>
      <c r="C949" s="1" t="s">
        <v>8</v>
      </c>
      <c r="D949" s="1" t="s">
        <v>306</v>
      </c>
      <c r="E949" s="6" t="str">
        <f>"005"</f>
        <v>005</v>
      </c>
      <c r="F949" s="6">
        <v>2006</v>
      </c>
      <c r="G949" s="7">
        <v>47545400</v>
      </c>
      <c r="H949" s="7">
        <v>2568600</v>
      </c>
      <c r="I949" s="7">
        <v>44976800</v>
      </c>
    </row>
    <row r="950" spans="1:9" x14ac:dyDescent="0.2">
      <c r="A950" s="1" t="s">
        <v>302</v>
      </c>
      <c r="B950" s="6" t="str">
        <f>"47271"</f>
        <v>47271</v>
      </c>
      <c r="C950" s="1" t="s">
        <v>8</v>
      </c>
      <c r="D950" s="1" t="s">
        <v>306</v>
      </c>
      <c r="E950" s="6" t="str">
        <f>"006"</f>
        <v>006</v>
      </c>
      <c r="F950" s="6">
        <v>2024</v>
      </c>
      <c r="G950" s="7">
        <v>41138000</v>
      </c>
      <c r="H950" s="7">
        <v>40153200</v>
      </c>
      <c r="I950" s="7">
        <v>984800</v>
      </c>
    </row>
    <row r="951" spans="1:9" x14ac:dyDescent="0.2">
      <c r="A951" s="1" t="s">
        <v>302</v>
      </c>
      <c r="B951" s="6" t="str">
        <f t="shared" ref="B951:B956" si="41">"47276"</f>
        <v>47276</v>
      </c>
      <c r="C951" s="1" t="s">
        <v>8</v>
      </c>
      <c r="D951" s="1" t="s">
        <v>307</v>
      </c>
      <c r="E951" s="6" t="str">
        <f>"006"</f>
        <v>006</v>
      </c>
      <c r="F951" s="6">
        <v>2005</v>
      </c>
      <c r="G951" s="7">
        <v>8506300</v>
      </c>
      <c r="H951" s="7">
        <v>973400</v>
      </c>
      <c r="I951" s="7">
        <v>7532900</v>
      </c>
    </row>
    <row r="952" spans="1:9" x14ac:dyDescent="0.2">
      <c r="A952" s="1" t="s">
        <v>302</v>
      </c>
      <c r="B952" s="6" t="str">
        <f t="shared" si="41"/>
        <v>47276</v>
      </c>
      <c r="C952" s="1" t="s">
        <v>8</v>
      </c>
      <c r="D952" s="1" t="s">
        <v>307</v>
      </c>
      <c r="E952" s="6" t="str">
        <f>"008"</f>
        <v>008</v>
      </c>
      <c r="F952" s="6">
        <v>2010</v>
      </c>
      <c r="G952" s="7">
        <v>13550800</v>
      </c>
      <c r="H952" s="7">
        <v>1326500</v>
      </c>
      <c r="I952" s="7">
        <v>12224300</v>
      </c>
    </row>
    <row r="953" spans="1:9" x14ac:dyDescent="0.2">
      <c r="A953" s="1" t="s">
        <v>302</v>
      </c>
      <c r="B953" s="6" t="str">
        <f t="shared" si="41"/>
        <v>47276</v>
      </c>
      <c r="C953" s="1" t="s">
        <v>8</v>
      </c>
      <c r="D953" s="1" t="s">
        <v>307</v>
      </c>
      <c r="E953" s="6" t="str">
        <f>"009"</f>
        <v>009</v>
      </c>
      <c r="F953" s="6">
        <v>2012</v>
      </c>
      <c r="G953" s="7">
        <v>10074800</v>
      </c>
      <c r="H953" s="7">
        <v>4212300</v>
      </c>
      <c r="I953" s="7">
        <v>5862500</v>
      </c>
    </row>
    <row r="954" spans="1:9" x14ac:dyDescent="0.2">
      <c r="A954" s="1" t="s">
        <v>302</v>
      </c>
      <c r="B954" s="6" t="str">
        <f t="shared" si="41"/>
        <v>47276</v>
      </c>
      <c r="C954" s="1" t="s">
        <v>8</v>
      </c>
      <c r="D954" s="1" t="s">
        <v>307</v>
      </c>
      <c r="E954" s="6" t="str">
        <f>"014"</f>
        <v>014</v>
      </c>
      <c r="F954" s="6">
        <v>2018</v>
      </c>
      <c r="G954" s="7">
        <v>10064300</v>
      </c>
      <c r="H954" s="7">
        <v>73100</v>
      </c>
      <c r="I954" s="7">
        <v>9991200</v>
      </c>
    </row>
    <row r="955" spans="1:9" x14ac:dyDescent="0.2">
      <c r="A955" s="1" t="s">
        <v>302</v>
      </c>
      <c r="B955" s="6" t="str">
        <f t="shared" si="41"/>
        <v>47276</v>
      </c>
      <c r="C955" s="1" t="s">
        <v>8</v>
      </c>
      <c r="D955" s="1" t="s">
        <v>307</v>
      </c>
      <c r="E955" s="6" t="str">
        <f>"015"</f>
        <v>015</v>
      </c>
      <c r="F955" s="6">
        <v>2020</v>
      </c>
      <c r="G955" s="7">
        <v>2822100</v>
      </c>
      <c r="H955" s="7">
        <v>245200</v>
      </c>
      <c r="I955" s="7">
        <v>2576900</v>
      </c>
    </row>
    <row r="956" spans="1:9" x14ac:dyDescent="0.2">
      <c r="A956" s="1" t="s">
        <v>302</v>
      </c>
      <c r="B956" s="6" t="str">
        <f t="shared" si="41"/>
        <v>47276</v>
      </c>
      <c r="C956" s="1" t="s">
        <v>8</v>
      </c>
      <c r="D956" s="1" t="s">
        <v>307</v>
      </c>
      <c r="E956" s="6" t="str">
        <f>"018"</f>
        <v>018</v>
      </c>
      <c r="F956" s="6">
        <v>2021</v>
      </c>
      <c r="G956" s="7">
        <v>13913900</v>
      </c>
      <c r="H956" s="7">
        <v>538400</v>
      </c>
      <c r="I956" s="7">
        <v>13375500</v>
      </c>
    </row>
    <row r="957" spans="1:9" x14ac:dyDescent="0.2">
      <c r="A957" s="1" t="s">
        <v>308</v>
      </c>
      <c r="B957" s="6" t="str">
        <f>"48106"</f>
        <v>48106</v>
      </c>
      <c r="C957" s="1" t="s">
        <v>12</v>
      </c>
      <c r="D957" s="1" t="s">
        <v>309</v>
      </c>
      <c r="E957" s="6" t="str">
        <f>"002"</f>
        <v>002</v>
      </c>
      <c r="F957" s="6">
        <v>1995</v>
      </c>
      <c r="G957" s="7">
        <v>3928000</v>
      </c>
      <c r="H957" s="7">
        <v>11800</v>
      </c>
      <c r="I957" s="7">
        <v>3916200</v>
      </c>
    </row>
    <row r="958" spans="1:9" x14ac:dyDescent="0.2">
      <c r="A958" s="1" t="s">
        <v>308</v>
      </c>
      <c r="B958" s="6" t="str">
        <f>"48106"</f>
        <v>48106</v>
      </c>
      <c r="C958" s="1" t="s">
        <v>12</v>
      </c>
      <c r="D958" s="1" t="s">
        <v>309</v>
      </c>
      <c r="E958" s="6" t="str">
        <f>"003"</f>
        <v>003</v>
      </c>
      <c r="F958" s="6">
        <v>2004</v>
      </c>
      <c r="G958" s="7">
        <v>0</v>
      </c>
      <c r="H958" s="7">
        <v>22300</v>
      </c>
      <c r="I958" s="7">
        <v>-22300</v>
      </c>
    </row>
    <row r="959" spans="1:9" x14ac:dyDescent="0.2">
      <c r="A959" s="1" t="s">
        <v>308</v>
      </c>
      <c r="B959" s="6" t="str">
        <f>"48106"</f>
        <v>48106</v>
      </c>
      <c r="C959" s="1" t="s">
        <v>12</v>
      </c>
      <c r="D959" s="1" t="s">
        <v>309</v>
      </c>
      <c r="E959" s="6" t="str">
        <f>"005"</f>
        <v>005</v>
      </c>
      <c r="F959" s="6">
        <v>2006</v>
      </c>
      <c r="G959" s="7">
        <v>14081300</v>
      </c>
      <c r="H959" s="7">
        <v>7735100</v>
      </c>
      <c r="I959" s="7">
        <v>6346200</v>
      </c>
    </row>
    <row r="960" spans="1:9" x14ac:dyDescent="0.2">
      <c r="A960" s="1" t="s">
        <v>308</v>
      </c>
      <c r="B960" s="6" t="str">
        <f>"48106"</f>
        <v>48106</v>
      </c>
      <c r="C960" s="1" t="s">
        <v>12</v>
      </c>
      <c r="D960" s="1" t="s">
        <v>309</v>
      </c>
      <c r="E960" s="6" t="str">
        <f>"006"</f>
        <v>006</v>
      </c>
      <c r="F960" s="6">
        <v>2013</v>
      </c>
      <c r="G960" s="8">
        <v>18497500</v>
      </c>
      <c r="H960" s="8">
        <v>7793600</v>
      </c>
      <c r="I960" s="8">
        <v>10703900</v>
      </c>
    </row>
    <row r="961" spans="1:10" x14ac:dyDescent="0.2">
      <c r="A961" s="1" t="s">
        <v>308</v>
      </c>
      <c r="B961" s="6" t="str">
        <f>"48111"</f>
        <v>48111</v>
      </c>
      <c r="C961" s="1" t="s">
        <v>12</v>
      </c>
      <c r="D961" s="1" t="s">
        <v>310</v>
      </c>
      <c r="E961" s="6" t="str">
        <f>"001"</f>
        <v>001</v>
      </c>
      <c r="F961" s="6">
        <v>1999</v>
      </c>
      <c r="G961" s="9">
        <v>17463500</v>
      </c>
      <c r="H961" s="9">
        <v>4526600</v>
      </c>
      <c r="I961" s="9">
        <v>12936900</v>
      </c>
      <c r="J961" s="12"/>
    </row>
    <row r="962" spans="1:10" x14ac:dyDescent="0.2">
      <c r="A962" s="1" t="s">
        <v>308</v>
      </c>
      <c r="B962" s="6" t="str">
        <f>"48112"</f>
        <v>48112</v>
      </c>
      <c r="C962" s="1" t="s">
        <v>12</v>
      </c>
      <c r="D962" s="1" t="s">
        <v>311</v>
      </c>
      <c r="E962" s="6" t="str">
        <f>"002"</f>
        <v>002</v>
      </c>
      <c r="F962" s="6">
        <v>1999</v>
      </c>
      <c r="G962" s="7">
        <v>2622600</v>
      </c>
      <c r="H962" s="7">
        <v>16700</v>
      </c>
      <c r="I962" s="7">
        <v>2605900</v>
      </c>
    </row>
    <row r="963" spans="1:10" x14ac:dyDescent="0.2">
      <c r="A963" s="1" t="s">
        <v>308</v>
      </c>
      <c r="B963" s="6" t="str">
        <f>"48112"</f>
        <v>48112</v>
      </c>
      <c r="C963" s="1" t="s">
        <v>12</v>
      </c>
      <c r="D963" s="1" t="s">
        <v>311</v>
      </c>
      <c r="E963" s="6" t="str">
        <f>"003"</f>
        <v>003</v>
      </c>
      <c r="F963" s="6">
        <v>2020</v>
      </c>
      <c r="G963" s="7">
        <v>3008900</v>
      </c>
      <c r="H963" s="7">
        <v>1746200</v>
      </c>
      <c r="I963" s="7">
        <v>1262700</v>
      </c>
    </row>
    <row r="964" spans="1:10" x14ac:dyDescent="0.2">
      <c r="A964" s="1" t="s">
        <v>308</v>
      </c>
      <c r="B964" s="6" t="str">
        <f>"48113"</f>
        <v>48113</v>
      </c>
      <c r="C964" s="1" t="s">
        <v>12</v>
      </c>
      <c r="D964" s="1" t="s">
        <v>312</v>
      </c>
      <c r="E964" s="6" t="str">
        <f>"003"</f>
        <v>003</v>
      </c>
      <c r="F964" s="6">
        <v>2003</v>
      </c>
      <c r="G964" s="7">
        <v>13349100</v>
      </c>
      <c r="H964" s="7">
        <v>2113600</v>
      </c>
      <c r="I964" s="7">
        <v>11235500</v>
      </c>
    </row>
    <row r="965" spans="1:10" x14ac:dyDescent="0.2">
      <c r="A965" s="1" t="s">
        <v>308</v>
      </c>
      <c r="B965" s="6" t="str">
        <f>"48126"</f>
        <v>48126</v>
      </c>
      <c r="C965" s="1" t="s">
        <v>12</v>
      </c>
      <c r="D965" s="1" t="s">
        <v>313</v>
      </c>
      <c r="E965" s="6" t="str">
        <f>"003"</f>
        <v>003</v>
      </c>
      <c r="F965" s="6">
        <v>2007</v>
      </c>
      <c r="G965" s="7">
        <v>1755300</v>
      </c>
      <c r="H965" s="7">
        <v>1755300</v>
      </c>
      <c r="I965" s="7">
        <v>0</v>
      </c>
    </row>
    <row r="966" spans="1:10" x14ac:dyDescent="0.2">
      <c r="A966" s="1" t="s">
        <v>308</v>
      </c>
      <c r="B966" s="6" t="str">
        <f>"48146"</f>
        <v>48146</v>
      </c>
      <c r="C966" s="1" t="s">
        <v>12</v>
      </c>
      <c r="D966" s="1" t="s">
        <v>314</v>
      </c>
      <c r="E966" s="6" t="str">
        <f>"002"</f>
        <v>002</v>
      </c>
      <c r="F966" s="6">
        <v>2002</v>
      </c>
      <c r="G966" s="7">
        <v>5509600</v>
      </c>
      <c r="H966" s="7">
        <v>5509600</v>
      </c>
      <c r="I966" s="7">
        <v>0</v>
      </c>
    </row>
    <row r="967" spans="1:10" x14ac:dyDescent="0.2">
      <c r="A967" s="1" t="s">
        <v>308</v>
      </c>
      <c r="B967" s="6" t="str">
        <f>"48146"</f>
        <v>48146</v>
      </c>
      <c r="C967" s="1" t="s">
        <v>12</v>
      </c>
      <c r="D967" s="1" t="s">
        <v>314</v>
      </c>
      <c r="E967" s="6" t="str">
        <f>"003"</f>
        <v>003</v>
      </c>
      <c r="F967" s="6">
        <v>2005</v>
      </c>
      <c r="G967" s="7">
        <v>3522400</v>
      </c>
      <c r="H967" s="7">
        <v>3522400</v>
      </c>
      <c r="I967" s="7">
        <v>0</v>
      </c>
    </row>
    <row r="968" spans="1:10" x14ac:dyDescent="0.2">
      <c r="A968" s="1" t="s">
        <v>308</v>
      </c>
      <c r="B968" s="6" t="str">
        <f>"48146"</f>
        <v>48146</v>
      </c>
      <c r="C968" s="1" t="s">
        <v>12</v>
      </c>
      <c r="D968" s="1" t="s">
        <v>314</v>
      </c>
      <c r="E968" s="6" t="str">
        <f>"004"</f>
        <v>004</v>
      </c>
      <c r="F968" s="6">
        <v>2018</v>
      </c>
      <c r="G968" s="7">
        <v>9634500</v>
      </c>
      <c r="H968" s="7">
        <v>7421700</v>
      </c>
      <c r="I968" s="7">
        <v>2212800</v>
      </c>
    </row>
    <row r="969" spans="1:10" x14ac:dyDescent="0.2">
      <c r="A969" s="1" t="s">
        <v>308</v>
      </c>
      <c r="B969" s="6" t="str">
        <f>"48151"</f>
        <v>48151</v>
      </c>
      <c r="C969" s="1" t="s">
        <v>12</v>
      </c>
      <c r="D969" s="1" t="s">
        <v>315</v>
      </c>
      <c r="E969" s="6" t="str">
        <f>"003"</f>
        <v>003</v>
      </c>
      <c r="F969" s="6">
        <v>2004</v>
      </c>
      <c r="G969" s="7">
        <v>7314700</v>
      </c>
      <c r="H969" s="7">
        <v>3445200</v>
      </c>
      <c r="I969" s="7">
        <v>3869500</v>
      </c>
    </row>
    <row r="970" spans="1:10" x14ac:dyDescent="0.2">
      <c r="A970" s="1" t="s">
        <v>308</v>
      </c>
      <c r="B970" s="6" t="str">
        <f>"48151"</f>
        <v>48151</v>
      </c>
      <c r="C970" s="1" t="s">
        <v>12</v>
      </c>
      <c r="D970" s="1" t="s">
        <v>315</v>
      </c>
      <c r="E970" s="6" t="str">
        <f>"004"</f>
        <v>004</v>
      </c>
      <c r="F970" s="6">
        <v>2012</v>
      </c>
      <c r="G970" s="7">
        <v>3172300</v>
      </c>
      <c r="H970" s="7">
        <v>887000</v>
      </c>
      <c r="I970" s="7">
        <v>2285300</v>
      </c>
    </row>
    <row r="971" spans="1:10" x14ac:dyDescent="0.2">
      <c r="A971" s="1" t="s">
        <v>308</v>
      </c>
      <c r="B971" s="6" t="str">
        <f>"48151"</f>
        <v>48151</v>
      </c>
      <c r="C971" s="1" t="s">
        <v>12</v>
      </c>
      <c r="D971" s="1" t="s">
        <v>315</v>
      </c>
      <c r="E971" s="6" t="str">
        <f>"005"</f>
        <v>005</v>
      </c>
      <c r="F971" s="6">
        <v>2022</v>
      </c>
      <c r="G971" s="7">
        <v>5854700</v>
      </c>
      <c r="H971" s="7">
        <v>1858600</v>
      </c>
      <c r="I971" s="7">
        <v>3996100</v>
      </c>
    </row>
    <row r="972" spans="1:10" x14ac:dyDescent="0.2">
      <c r="A972" s="1" t="s">
        <v>308</v>
      </c>
      <c r="B972" s="6" t="str">
        <f>"48165"</f>
        <v>48165</v>
      </c>
      <c r="C972" s="1" t="s">
        <v>12</v>
      </c>
      <c r="D972" s="1" t="s">
        <v>316</v>
      </c>
      <c r="E972" s="6" t="str">
        <f>"003"</f>
        <v>003</v>
      </c>
      <c r="F972" s="6">
        <v>2020</v>
      </c>
      <c r="G972" s="7">
        <v>12234800</v>
      </c>
      <c r="H972" s="7">
        <v>5092400</v>
      </c>
      <c r="I972" s="7">
        <v>7142400</v>
      </c>
    </row>
    <row r="973" spans="1:10" x14ac:dyDescent="0.2">
      <c r="A973" s="1" t="s">
        <v>308</v>
      </c>
      <c r="B973" s="6" t="str">
        <f>"48165"</f>
        <v>48165</v>
      </c>
      <c r="C973" s="1" t="s">
        <v>12</v>
      </c>
      <c r="D973" s="1" t="s">
        <v>316</v>
      </c>
      <c r="E973" s="6" t="str">
        <f>"004"</f>
        <v>004</v>
      </c>
      <c r="F973" s="6">
        <v>2024</v>
      </c>
      <c r="G973" s="7">
        <v>25043700</v>
      </c>
      <c r="H973" s="7">
        <v>22269500</v>
      </c>
      <c r="I973" s="7">
        <v>2774200</v>
      </c>
    </row>
    <row r="974" spans="1:10" x14ac:dyDescent="0.2">
      <c r="A974" s="1" t="s">
        <v>308</v>
      </c>
      <c r="B974" s="6" t="str">
        <f>"48168"</f>
        <v>48168</v>
      </c>
      <c r="C974" s="1" t="s">
        <v>12</v>
      </c>
      <c r="D974" s="1" t="s">
        <v>15</v>
      </c>
      <c r="E974" s="6" t="str">
        <f>"003"</f>
        <v>003</v>
      </c>
      <c r="F974" s="6">
        <v>2009</v>
      </c>
      <c r="G974" s="7">
        <v>19263600</v>
      </c>
      <c r="H974" s="7">
        <v>4222500</v>
      </c>
      <c r="I974" s="7">
        <v>15041100</v>
      </c>
    </row>
    <row r="975" spans="1:10" x14ac:dyDescent="0.2">
      <c r="A975" s="1" t="s">
        <v>308</v>
      </c>
      <c r="B975" s="6" t="str">
        <f>"48201"</f>
        <v>48201</v>
      </c>
      <c r="C975" s="1" t="s">
        <v>8</v>
      </c>
      <c r="D975" s="1" t="s">
        <v>317</v>
      </c>
      <c r="E975" s="6" t="str">
        <f>"006"</f>
        <v>006</v>
      </c>
      <c r="F975" s="6">
        <v>2004</v>
      </c>
      <c r="G975" s="7">
        <v>35205000</v>
      </c>
      <c r="H975" s="7">
        <v>19643000</v>
      </c>
      <c r="I975" s="7">
        <v>15562000</v>
      </c>
    </row>
    <row r="976" spans="1:10" x14ac:dyDescent="0.2">
      <c r="A976" s="1" t="s">
        <v>308</v>
      </c>
      <c r="B976" s="6" t="str">
        <f>"48201"</f>
        <v>48201</v>
      </c>
      <c r="C976" s="1" t="s">
        <v>8</v>
      </c>
      <c r="D976" s="1" t="s">
        <v>317</v>
      </c>
      <c r="E976" s="6" t="str">
        <f>"007"</f>
        <v>007</v>
      </c>
      <c r="F976" s="6">
        <v>2010</v>
      </c>
      <c r="G976" s="7">
        <v>6396500</v>
      </c>
      <c r="H976" s="7">
        <v>3318500</v>
      </c>
      <c r="I976" s="7">
        <v>3078000</v>
      </c>
    </row>
    <row r="977" spans="1:9" x14ac:dyDescent="0.2">
      <c r="A977" s="1" t="s">
        <v>308</v>
      </c>
      <c r="B977" s="6" t="str">
        <f>"48201"</f>
        <v>48201</v>
      </c>
      <c r="C977" s="1" t="s">
        <v>8</v>
      </c>
      <c r="D977" s="1" t="s">
        <v>317</v>
      </c>
      <c r="E977" s="6" t="str">
        <f>"008"</f>
        <v>008</v>
      </c>
      <c r="F977" s="6">
        <v>2016</v>
      </c>
      <c r="G977" s="7">
        <v>15927500</v>
      </c>
      <c r="H977" s="7">
        <v>10050700</v>
      </c>
      <c r="I977" s="7">
        <v>5876800</v>
      </c>
    </row>
    <row r="978" spans="1:9" x14ac:dyDescent="0.2">
      <c r="A978" s="1" t="s">
        <v>308</v>
      </c>
      <c r="B978" s="6" t="str">
        <f>"48201"</f>
        <v>48201</v>
      </c>
      <c r="C978" s="1" t="s">
        <v>8</v>
      </c>
      <c r="D978" s="1" t="s">
        <v>317</v>
      </c>
      <c r="E978" s="6" t="str">
        <f>"009"</f>
        <v>009</v>
      </c>
      <c r="F978" s="6">
        <v>2019</v>
      </c>
      <c r="G978" s="7">
        <v>42458400</v>
      </c>
      <c r="H978" s="7">
        <v>27286400</v>
      </c>
      <c r="I978" s="7">
        <v>15172000</v>
      </c>
    </row>
    <row r="979" spans="1:9" x14ac:dyDescent="0.2">
      <c r="A979" s="1" t="s">
        <v>308</v>
      </c>
      <c r="B979" s="6" t="str">
        <f>"48201"</f>
        <v>48201</v>
      </c>
      <c r="C979" s="1" t="s">
        <v>8</v>
      </c>
      <c r="D979" s="1" t="s">
        <v>317</v>
      </c>
      <c r="E979" s="6" t="str">
        <f>"010"</f>
        <v>010</v>
      </c>
      <c r="F979" s="6">
        <v>2024</v>
      </c>
      <c r="G979" s="7">
        <v>4078800</v>
      </c>
      <c r="H979" s="7">
        <v>4037100</v>
      </c>
      <c r="I979" s="7">
        <v>41700</v>
      </c>
    </row>
    <row r="980" spans="1:9" x14ac:dyDescent="0.2">
      <c r="A980" s="1" t="s">
        <v>308</v>
      </c>
      <c r="B980" s="6" t="str">
        <f>"48281"</f>
        <v>48281</v>
      </c>
      <c r="C980" s="1" t="s">
        <v>8</v>
      </c>
      <c r="D980" s="1" t="s">
        <v>318</v>
      </c>
      <c r="E980" s="6" t="str">
        <f>"002"</f>
        <v>002</v>
      </c>
      <c r="F980" s="6">
        <v>2023</v>
      </c>
      <c r="G980" s="7">
        <v>3371100</v>
      </c>
      <c r="H980" s="7">
        <v>1080900</v>
      </c>
      <c r="I980" s="7">
        <v>2290200</v>
      </c>
    </row>
    <row r="981" spans="1:9" x14ac:dyDescent="0.2">
      <c r="A981" s="1" t="s">
        <v>79</v>
      </c>
      <c r="B981" s="6" t="str">
        <f>"49102"</f>
        <v>49102</v>
      </c>
      <c r="C981" s="1" t="s">
        <v>12</v>
      </c>
      <c r="D981" s="1" t="s">
        <v>319</v>
      </c>
      <c r="E981" s="6" t="str">
        <f>"002"</f>
        <v>002</v>
      </c>
      <c r="F981" s="6">
        <v>2003</v>
      </c>
      <c r="G981" s="7">
        <v>6243300</v>
      </c>
      <c r="H981" s="7">
        <v>17200</v>
      </c>
      <c r="I981" s="7">
        <v>6226100</v>
      </c>
    </row>
    <row r="982" spans="1:9" x14ac:dyDescent="0.2">
      <c r="A982" s="1" t="s">
        <v>79</v>
      </c>
      <c r="B982" s="6" t="str">
        <f>"49141"</f>
        <v>49141</v>
      </c>
      <c r="C982" s="1" t="s">
        <v>12</v>
      </c>
      <c r="D982" s="1" t="s">
        <v>320</v>
      </c>
      <c r="E982" s="6" t="str">
        <f>"001"</f>
        <v>001</v>
      </c>
      <c r="F982" s="6">
        <v>2008</v>
      </c>
      <c r="G982" s="7">
        <v>7836800</v>
      </c>
      <c r="H982" s="7">
        <v>1267700</v>
      </c>
      <c r="I982" s="7">
        <v>6569100</v>
      </c>
    </row>
    <row r="983" spans="1:9" x14ac:dyDescent="0.2">
      <c r="A983" s="1" t="s">
        <v>79</v>
      </c>
      <c r="B983" s="6" t="str">
        <f>"49141"</f>
        <v>49141</v>
      </c>
      <c r="C983" s="1" t="s">
        <v>12</v>
      </c>
      <c r="D983" s="1" t="s">
        <v>320</v>
      </c>
      <c r="E983" s="6" t="str">
        <f>"002"</f>
        <v>002</v>
      </c>
      <c r="F983" s="6">
        <v>2019</v>
      </c>
      <c r="G983" s="7">
        <v>3454100</v>
      </c>
      <c r="H983" s="7">
        <v>1883200</v>
      </c>
      <c r="I983" s="7">
        <v>1570900</v>
      </c>
    </row>
    <row r="984" spans="1:9" x14ac:dyDescent="0.2">
      <c r="A984" s="1" t="s">
        <v>79</v>
      </c>
      <c r="B984" s="6" t="str">
        <f>"49173"</f>
        <v>49173</v>
      </c>
      <c r="C984" s="1" t="s">
        <v>12</v>
      </c>
      <c r="D984" s="1" t="s">
        <v>321</v>
      </c>
      <c r="E984" s="6" t="str">
        <f>"004"</f>
        <v>004</v>
      </c>
      <c r="F984" s="6">
        <v>2004</v>
      </c>
      <c r="G984" s="7">
        <v>87373400</v>
      </c>
      <c r="H984" s="7">
        <v>15168000</v>
      </c>
      <c r="I984" s="7">
        <v>72205400</v>
      </c>
    </row>
    <row r="985" spans="1:9" x14ac:dyDescent="0.2">
      <c r="A985" s="1" t="s">
        <v>79</v>
      </c>
      <c r="B985" s="6" t="str">
        <f>"49173"</f>
        <v>49173</v>
      </c>
      <c r="C985" s="1" t="s">
        <v>12</v>
      </c>
      <c r="D985" s="1" t="s">
        <v>321</v>
      </c>
      <c r="E985" s="6" t="str">
        <f>"005"</f>
        <v>005</v>
      </c>
      <c r="F985" s="6">
        <v>2005</v>
      </c>
      <c r="G985" s="7">
        <v>134506600</v>
      </c>
      <c r="H985" s="7">
        <v>2713700</v>
      </c>
      <c r="I985" s="7">
        <v>131792900</v>
      </c>
    </row>
    <row r="986" spans="1:9" x14ac:dyDescent="0.2">
      <c r="A986" s="1" t="s">
        <v>79</v>
      </c>
      <c r="B986" s="6" t="str">
        <f>"49173"</f>
        <v>49173</v>
      </c>
      <c r="C986" s="1" t="s">
        <v>12</v>
      </c>
      <c r="D986" s="1" t="s">
        <v>321</v>
      </c>
      <c r="E986" s="6" t="str">
        <f>"006"</f>
        <v>006</v>
      </c>
      <c r="F986" s="6">
        <v>2010</v>
      </c>
      <c r="G986" s="7">
        <v>17029300</v>
      </c>
      <c r="H986" s="7">
        <v>340400</v>
      </c>
      <c r="I986" s="7">
        <v>16688900</v>
      </c>
    </row>
    <row r="987" spans="1:9" x14ac:dyDescent="0.2">
      <c r="A987" s="1" t="s">
        <v>79</v>
      </c>
      <c r="B987" s="6" t="str">
        <f>"49173"</f>
        <v>49173</v>
      </c>
      <c r="C987" s="1" t="s">
        <v>12</v>
      </c>
      <c r="D987" s="1" t="s">
        <v>321</v>
      </c>
      <c r="E987" s="6" t="str">
        <f>"007"</f>
        <v>007</v>
      </c>
      <c r="F987" s="6">
        <v>2013</v>
      </c>
      <c r="G987" s="7">
        <v>12227200</v>
      </c>
      <c r="H987" s="7">
        <v>2774400</v>
      </c>
      <c r="I987" s="7">
        <v>9452800</v>
      </c>
    </row>
    <row r="988" spans="1:9" x14ac:dyDescent="0.2">
      <c r="A988" s="1" t="s">
        <v>79</v>
      </c>
      <c r="B988" s="6" t="str">
        <f>"49191"</f>
        <v>49191</v>
      </c>
      <c r="C988" s="1" t="s">
        <v>12</v>
      </c>
      <c r="D988" s="1" t="s">
        <v>322</v>
      </c>
      <c r="E988" s="6" t="str">
        <f>"001"</f>
        <v>001</v>
      </c>
      <c r="F988" s="6">
        <v>1994</v>
      </c>
      <c r="G988" s="7">
        <v>11850200</v>
      </c>
      <c r="H988" s="7">
        <v>1704800</v>
      </c>
      <c r="I988" s="7">
        <v>10145400</v>
      </c>
    </row>
    <row r="989" spans="1:9" x14ac:dyDescent="0.2">
      <c r="A989" s="1" t="s">
        <v>79</v>
      </c>
      <c r="B989" s="6" t="str">
        <f t="shared" ref="B989:B998" si="42">"49281"</f>
        <v>49281</v>
      </c>
      <c r="C989" s="1" t="s">
        <v>8</v>
      </c>
      <c r="D989" s="1" t="s">
        <v>323</v>
      </c>
      <c r="E989" s="6" t="str">
        <f>"005"</f>
        <v>005</v>
      </c>
      <c r="F989" s="6">
        <v>2005</v>
      </c>
      <c r="G989" s="7">
        <v>145569000</v>
      </c>
      <c r="H989" s="7">
        <v>34687500</v>
      </c>
      <c r="I989" s="7">
        <v>110881500</v>
      </c>
    </row>
    <row r="990" spans="1:9" x14ac:dyDescent="0.2">
      <c r="A990" s="1" t="s">
        <v>79</v>
      </c>
      <c r="B990" s="6" t="str">
        <f t="shared" si="42"/>
        <v>49281</v>
      </c>
      <c r="C990" s="1" t="s">
        <v>8</v>
      </c>
      <c r="D990" s="1" t="s">
        <v>323</v>
      </c>
      <c r="E990" s="6" t="str">
        <f>"006"</f>
        <v>006</v>
      </c>
      <c r="F990" s="6">
        <v>2006</v>
      </c>
      <c r="G990" s="7">
        <v>66946500</v>
      </c>
      <c r="H990" s="7">
        <v>42590300</v>
      </c>
      <c r="I990" s="7">
        <v>24356200</v>
      </c>
    </row>
    <row r="991" spans="1:9" x14ac:dyDescent="0.2">
      <c r="A991" s="1" t="s">
        <v>79</v>
      </c>
      <c r="B991" s="6" t="str">
        <f t="shared" si="42"/>
        <v>49281</v>
      </c>
      <c r="C991" s="1" t="s">
        <v>8</v>
      </c>
      <c r="D991" s="1" t="s">
        <v>323</v>
      </c>
      <c r="E991" s="6" t="str">
        <f>"007"</f>
        <v>007</v>
      </c>
      <c r="F991" s="6">
        <v>2008</v>
      </c>
      <c r="G991" s="7">
        <v>38769700</v>
      </c>
      <c r="H991" s="7">
        <v>9343900</v>
      </c>
      <c r="I991" s="7">
        <v>29425800</v>
      </c>
    </row>
    <row r="992" spans="1:9" x14ac:dyDescent="0.2">
      <c r="A992" s="1" t="s">
        <v>79</v>
      </c>
      <c r="B992" s="6" t="str">
        <f t="shared" si="42"/>
        <v>49281</v>
      </c>
      <c r="C992" s="1" t="s">
        <v>8</v>
      </c>
      <c r="D992" s="1" t="s">
        <v>323</v>
      </c>
      <c r="E992" s="6" t="str">
        <f>"008"</f>
        <v>008</v>
      </c>
      <c r="F992" s="6">
        <v>2010</v>
      </c>
      <c r="G992" s="7">
        <v>47085600</v>
      </c>
      <c r="H992" s="7">
        <v>18347100</v>
      </c>
      <c r="I992" s="7">
        <v>28738500</v>
      </c>
    </row>
    <row r="993" spans="1:9" x14ac:dyDescent="0.2">
      <c r="A993" s="1" t="s">
        <v>79</v>
      </c>
      <c r="B993" s="6" t="str">
        <f t="shared" si="42"/>
        <v>49281</v>
      </c>
      <c r="C993" s="1" t="s">
        <v>8</v>
      </c>
      <c r="D993" s="1" t="s">
        <v>323</v>
      </c>
      <c r="E993" s="6" t="str">
        <f>"009"</f>
        <v>009</v>
      </c>
      <c r="F993" s="6">
        <v>2013</v>
      </c>
      <c r="G993" s="7">
        <v>245127500</v>
      </c>
      <c r="H993" s="7">
        <v>53133500</v>
      </c>
      <c r="I993" s="7">
        <v>191994000</v>
      </c>
    </row>
    <row r="994" spans="1:9" x14ac:dyDescent="0.2">
      <c r="A994" s="1" t="s">
        <v>79</v>
      </c>
      <c r="B994" s="6" t="str">
        <f t="shared" si="42"/>
        <v>49281</v>
      </c>
      <c r="C994" s="1" t="s">
        <v>8</v>
      </c>
      <c r="D994" s="1" t="s">
        <v>323</v>
      </c>
      <c r="E994" s="6" t="str">
        <f>"010"</f>
        <v>010</v>
      </c>
      <c r="F994" s="6">
        <v>2019</v>
      </c>
      <c r="G994" s="7">
        <v>92570300</v>
      </c>
      <c r="H994" s="7">
        <v>44409400</v>
      </c>
      <c r="I994" s="7">
        <v>48160900</v>
      </c>
    </row>
    <row r="995" spans="1:9" x14ac:dyDescent="0.2">
      <c r="A995" s="1" t="s">
        <v>79</v>
      </c>
      <c r="B995" s="6" t="str">
        <f t="shared" si="42"/>
        <v>49281</v>
      </c>
      <c r="C995" s="1" t="s">
        <v>8</v>
      </c>
      <c r="D995" s="1" t="s">
        <v>323</v>
      </c>
      <c r="E995" s="6" t="str">
        <f>"011"</f>
        <v>011</v>
      </c>
      <c r="F995" s="6">
        <v>2020</v>
      </c>
      <c r="G995" s="7">
        <v>48740900</v>
      </c>
      <c r="H995" s="7">
        <v>22935900</v>
      </c>
      <c r="I995" s="7">
        <v>25805000</v>
      </c>
    </row>
    <row r="996" spans="1:9" x14ac:dyDescent="0.2">
      <c r="A996" s="1" t="s">
        <v>79</v>
      </c>
      <c r="B996" s="6" t="str">
        <f t="shared" si="42"/>
        <v>49281</v>
      </c>
      <c r="C996" s="1" t="s">
        <v>8</v>
      </c>
      <c r="D996" s="1" t="s">
        <v>323</v>
      </c>
      <c r="E996" s="6" t="str">
        <f>"012"</f>
        <v>012</v>
      </c>
      <c r="F996" s="6">
        <v>2020</v>
      </c>
      <c r="G996" s="7">
        <v>23474700</v>
      </c>
      <c r="H996" s="7">
        <v>18991600</v>
      </c>
      <c r="I996" s="7">
        <v>4483100</v>
      </c>
    </row>
    <row r="997" spans="1:9" x14ac:dyDescent="0.2">
      <c r="A997" s="1" t="s">
        <v>79</v>
      </c>
      <c r="B997" s="6" t="str">
        <f t="shared" si="42"/>
        <v>49281</v>
      </c>
      <c r="C997" s="1" t="s">
        <v>8</v>
      </c>
      <c r="D997" s="1" t="s">
        <v>323</v>
      </c>
      <c r="E997" s="6" t="str">
        <f>"013"</f>
        <v>013</v>
      </c>
      <c r="F997" s="6">
        <v>2020</v>
      </c>
      <c r="G997" s="7">
        <v>16692200</v>
      </c>
      <c r="H997" s="7">
        <v>6417700</v>
      </c>
      <c r="I997" s="7">
        <v>10274500</v>
      </c>
    </row>
    <row r="998" spans="1:9" x14ac:dyDescent="0.2">
      <c r="A998" s="1" t="s">
        <v>79</v>
      </c>
      <c r="B998" s="6" t="str">
        <f t="shared" si="42"/>
        <v>49281</v>
      </c>
      <c r="C998" s="1" t="s">
        <v>8</v>
      </c>
      <c r="D998" s="1" t="s">
        <v>323</v>
      </c>
      <c r="E998" s="6" t="str">
        <f>"014"</f>
        <v>014</v>
      </c>
      <c r="F998" s="6">
        <v>2024</v>
      </c>
      <c r="G998" s="7">
        <v>27415400</v>
      </c>
      <c r="H998" s="7">
        <v>24124600</v>
      </c>
      <c r="I998" s="7">
        <v>3290800</v>
      </c>
    </row>
    <row r="999" spans="1:9" x14ac:dyDescent="0.2">
      <c r="A999" s="1" t="s">
        <v>324</v>
      </c>
      <c r="B999" s="6" t="str">
        <f>"50171"</f>
        <v>50171</v>
      </c>
      <c r="C999" s="1" t="s">
        <v>12</v>
      </c>
      <c r="D999" s="1" t="s">
        <v>325</v>
      </c>
      <c r="E999" s="6" t="str">
        <f>"003"</f>
        <v>003</v>
      </c>
      <c r="F999" s="6">
        <v>2011</v>
      </c>
      <c r="G999" s="7">
        <v>159000</v>
      </c>
      <c r="H999" s="7">
        <v>62000</v>
      </c>
      <c r="I999" s="7">
        <v>97000</v>
      </c>
    </row>
    <row r="1000" spans="1:9" x14ac:dyDescent="0.2">
      <c r="A1000" s="1" t="s">
        <v>324</v>
      </c>
      <c r="B1000" s="6" t="str">
        <f>"50271"</f>
        <v>50271</v>
      </c>
      <c r="C1000" s="1" t="s">
        <v>8</v>
      </c>
      <c r="D1000" s="1" t="s">
        <v>326</v>
      </c>
      <c r="E1000" s="6" t="str">
        <f>"005"</f>
        <v>005</v>
      </c>
      <c r="F1000" s="6">
        <v>2019</v>
      </c>
      <c r="G1000" s="7">
        <v>28823500</v>
      </c>
      <c r="H1000" s="7">
        <v>14774000</v>
      </c>
      <c r="I1000" s="7">
        <v>14049500</v>
      </c>
    </row>
    <row r="1001" spans="1:9" x14ac:dyDescent="0.2">
      <c r="A1001" s="1" t="s">
        <v>324</v>
      </c>
      <c r="B1001" s="6" t="str">
        <f>"50271"</f>
        <v>50271</v>
      </c>
      <c r="C1001" s="1" t="s">
        <v>8</v>
      </c>
      <c r="D1001" s="1" t="s">
        <v>326</v>
      </c>
      <c r="E1001" s="6" t="str">
        <f>"006"</f>
        <v>006</v>
      </c>
      <c r="F1001" s="6">
        <v>2023</v>
      </c>
      <c r="G1001" s="7">
        <v>5496700</v>
      </c>
      <c r="H1001" s="7">
        <v>5324300</v>
      </c>
      <c r="I1001" s="7">
        <v>172400</v>
      </c>
    </row>
    <row r="1002" spans="1:9" x14ac:dyDescent="0.2">
      <c r="A1002" s="1" t="s">
        <v>324</v>
      </c>
      <c r="B1002" s="6" t="str">
        <f>"50272"</f>
        <v>50272</v>
      </c>
      <c r="C1002" s="1" t="s">
        <v>8</v>
      </c>
      <c r="D1002" s="1" t="s">
        <v>327</v>
      </c>
      <c r="E1002" s="6" t="str">
        <f>"003"</f>
        <v>003</v>
      </c>
      <c r="F1002" s="6">
        <v>1995</v>
      </c>
      <c r="G1002" s="7">
        <v>5748300</v>
      </c>
      <c r="H1002" s="7">
        <v>2081100</v>
      </c>
      <c r="I1002" s="7">
        <v>3667200</v>
      </c>
    </row>
    <row r="1003" spans="1:9" x14ac:dyDescent="0.2">
      <c r="A1003" s="1" t="s">
        <v>324</v>
      </c>
      <c r="B1003" s="6" t="str">
        <f>"50272"</f>
        <v>50272</v>
      </c>
      <c r="C1003" s="1" t="s">
        <v>8</v>
      </c>
      <c r="D1003" s="1" t="s">
        <v>327</v>
      </c>
      <c r="E1003" s="6" t="str">
        <f>"004"</f>
        <v>004</v>
      </c>
      <c r="F1003" s="6">
        <v>1995</v>
      </c>
      <c r="G1003" s="7">
        <v>21851300</v>
      </c>
      <c r="H1003" s="7">
        <v>748500</v>
      </c>
      <c r="I1003" s="7">
        <v>21102800</v>
      </c>
    </row>
    <row r="1004" spans="1:9" x14ac:dyDescent="0.2">
      <c r="A1004" s="1" t="s">
        <v>328</v>
      </c>
      <c r="B1004" s="6" t="str">
        <f>"51104"</f>
        <v>51104</v>
      </c>
      <c r="C1004" s="1" t="s">
        <v>12</v>
      </c>
      <c r="D1004" s="1" t="s">
        <v>329</v>
      </c>
      <c r="E1004" s="6" t="str">
        <f>"001"</f>
        <v>001</v>
      </c>
      <c r="F1004" s="6">
        <v>2007</v>
      </c>
      <c r="G1004" s="7">
        <v>8200400</v>
      </c>
      <c r="H1004" s="7">
        <v>1831800</v>
      </c>
      <c r="I1004" s="7">
        <v>6368600</v>
      </c>
    </row>
    <row r="1005" spans="1:9" x14ac:dyDescent="0.2">
      <c r="A1005" s="1" t="s">
        <v>328</v>
      </c>
      <c r="B1005" s="6" t="str">
        <f>"51104"</f>
        <v>51104</v>
      </c>
      <c r="C1005" s="1" t="s">
        <v>12</v>
      </c>
      <c r="D1005" s="1" t="s">
        <v>329</v>
      </c>
      <c r="E1005" s="6" t="str">
        <f>"003"</f>
        <v>003</v>
      </c>
      <c r="F1005" s="6">
        <v>2011</v>
      </c>
      <c r="G1005" s="7">
        <v>57796900</v>
      </c>
      <c r="H1005" s="7">
        <v>26435700</v>
      </c>
      <c r="I1005" s="7">
        <v>31361200</v>
      </c>
    </row>
    <row r="1006" spans="1:9" x14ac:dyDescent="0.2">
      <c r="A1006" s="1" t="s">
        <v>328</v>
      </c>
      <c r="B1006" s="6" t="str">
        <f>"51104"</f>
        <v>51104</v>
      </c>
      <c r="C1006" s="1" t="s">
        <v>12</v>
      </c>
      <c r="D1006" s="1" t="s">
        <v>329</v>
      </c>
      <c r="E1006" s="6" t="str">
        <f>"004"</f>
        <v>004</v>
      </c>
      <c r="F1006" s="6">
        <v>2014</v>
      </c>
      <c r="G1006" s="7">
        <v>155340600</v>
      </c>
      <c r="H1006" s="7">
        <v>14769700</v>
      </c>
      <c r="I1006" s="7">
        <v>140570900</v>
      </c>
    </row>
    <row r="1007" spans="1:9" x14ac:dyDescent="0.2">
      <c r="A1007" s="1" t="s">
        <v>328</v>
      </c>
      <c r="B1007" s="6" t="str">
        <f>"51104"</f>
        <v>51104</v>
      </c>
      <c r="C1007" s="1" t="s">
        <v>12</v>
      </c>
      <c r="D1007" s="1" t="s">
        <v>329</v>
      </c>
      <c r="E1007" s="6" t="str">
        <f>"005"</f>
        <v>005</v>
      </c>
      <c r="F1007" s="6">
        <v>2019</v>
      </c>
      <c r="G1007" s="7">
        <v>6389400</v>
      </c>
      <c r="H1007" s="7">
        <v>617200</v>
      </c>
      <c r="I1007" s="7">
        <v>5772200</v>
      </c>
    </row>
    <row r="1008" spans="1:9" x14ac:dyDescent="0.2">
      <c r="A1008" s="1" t="s">
        <v>328</v>
      </c>
      <c r="B1008" s="6" t="str">
        <f>"51104"</f>
        <v>51104</v>
      </c>
      <c r="C1008" s="1" t="s">
        <v>12</v>
      </c>
      <c r="D1008" s="1" t="s">
        <v>329</v>
      </c>
      <c r="E1008" s="6" t="str">
        <f>"006"</f>
        <v>006</v>
      </c>
      <c r="F1008" s="6">
        <v>2024</v>
      </c>
      <c r="G1008" s="7">
        <v>41078700</v>
      </c>
      <c r="H1008" s="7">
        <v>39201500</v>
      </c>
      <c r="I1008" s="7">
        <v>1877200</v>
      </c>
    </row>
    <row r="1009" spans="1:9" x14ac:dyDescent="0.2">
      <c r="A1009" s="1" t="s">
        <v>328</v>
      </c>
      <c r="B1009" s="6" t="str">
        <f t="shared" ref="B1009:B1015" si="43">"51151"</f>
        <v>51151</v>
      </c>
      <c r="C1009" s="1" t="s">
        <v>12</v>
      </c>
      <c r="D1009" s="1" t="s">
        <v>330</v>
      </c>
      <c r="E1009" s="6" t="str">
        <f>"001"</f>
        <v>001</v>
      </c>
      <c r="F1009" s="6">
        <v>2006</v>
      </c>
      <c r="G1009" s="7">
        <v>166001900</v>
      </c>
      <c r="H1009" s="7">
        <v>4301900</v>
      </c>
      <c r="I1009" s="7">
        <v>161700000</v>
      </c>
    </row>
    <row r="1010" spans="1:9" x14ac:dyDescent="0.2">
      <c r="A1010" s="1" t="s">
        <v>328</v>
      </c>
      <c r="B1010" s="6" t="str">
        <f t="shared" si="43"/>
        <v>51151</v>
      </c>
      <c r="C1010" s="1" t="s">
        <v>12</v>
      </c>
      <c r="D1010" s="1" t="s">
        <v>330</v>
      </c>
      <c r="E1010" s="6" t="str">
        <f>"002"</f>
        <v>002</v>
      </c>
      <c r="F1010" s="6">
        <v>2007</v>
      </c>
      <c r="G1010" s="7">
        <v>285409600</v>
      </c>
      <c r="H1010" s="7">
        <v>92084700</v>
      </c>
      <c r="I1010" s="7">
        <v>193324900</v>
      </c>
    </row>
    <row r="1011" spans="1:9" x14ac:dyDescent="0.2">
      <c r="A1011" s="1" t="s">
        <v>328</v>
      </c>
      <c r="B1011" s="6" t="str">
        <f t="shared" si="43"/>
        <v>51151</v>
      </c>
      <c r="C1011" s="1" t="s">
        <v>12</v>
      </c>
      <c r="D1011" s="1" t="s">
        <v>330</v>
      </c>
      <c r="E1011" s="6" t="str">
        <f>"003"</f>
        <v>003</v>
      </c>
      <c r="F1011" s="6">
        <v>2014</v>
      </c>
      <c r="G1011" s="7">
        <v>55047900</v>
      </c>
      <c r="H1011" s="7">
        <v>4136200</v>
      </c>
      <c r="I1011" s="7">
        <v>50911700</v>
      </c>
    </row>
    <row r="1012" spans="1:9" x14ac:dyDescent="0.2">
      <c r="A1012" s="1" t="s">
        <v>328</v>
      </c>
      <c r="B1012" s="6" t="str">
        <f t="shared" si="43"/>
        <v>51151</v>
      </c>
      <c r="C1012" s="1" t="s">
        <v>12</v>
      </c>
      <c r="D1012" s="1" t="s">
        <v>330</v>
      </c>
      <c r="E1012" s="6" t="str">
        <f>"004"</f>
        <v>004</v>
      </c>
      <c r="F1012" s="6">
        <v>2015</v>
      </c>
      <c r="G1012" s="7">
        <v>81107800</v>
      </c>
      <c r="H1012" s="7">
        <v>3587700</v>
      </c>
      <c r="I1012" s="7">
        <v>77520100</v>
      </c>
    </row>
    <row r="1013" spans="1:9" x14ac:dyDescent="0.2">
      <c r="A1013" s="1" t="s">
        <v>328</v>
      </c>
      <c r="B1013" s="6" t="str">
        <f t="shared" si="43"/>
        <v>51151</v>
      </c>
      <c r="C1013" s="1" t="s">
        <v>12</v>
      </c>
      <c r="D1013" s="1" t="s">
        <v>330</v>
      </c>
      <c r="E1013" s="6" t="str">
        <f>"005"</f>
        <v>005</v>
      </c>
      <c r="F1013" s="6">
        <v>2018</v>
      </c>
      <c r="G1013" s="7">
        <v>1731609100</v>
      </c>
      <c r="H1013" s="7">
        <v>30231500</v>
      </c>
      <c r="I1013" s="7">
        <v>1701377600</v>
      </c>
    </row>
    <row r="1014" spans="1:9" x14ac:dyDescent="0.2">
      <c r="A1014" s="1" t="s">
        <v>328</v>
      </c>
      <c r="B1014" s="6" t="str">
        <f t="shared" si="43"/>
        <v>51151</v>
      </c>
      <c r="C1014" s="1" t="s">
        <v>12</v>
      </c>
      <c r="D1014" s="1" t="s">
        <v>330</v>
      </c>
      <c r="E1014" s="6" t="str">
        <f>"006"</f>
        <v>006</v>
      </c>
      <c r="F1014" s="6">
        <v>2021</v>
      </c>
      <c r="G1014" s="7">
        <v>73641700</v>
      </c>
      <c r="H1014" s="7">
        <v>113500</v>
      </c>
      <c r="I1014" s="7">
        <v>73528200</v>
      </c>
    </row>
    <row r="1015" spans="1:9" x14ac:dyDescent="0.2">
      <c r="A1015" s="1" t="s">
        <v>328</v>
      </c>
      <c r="B1015" s="6" t="str">
        <f t="shared" si="43"/>
        <v>51151</v>
      </c>
      <c r="C1015" s="1" t="s">
        <v>12</v>
      </c>
      <c r="D1015" s="1" t="s">
        <v>330</v>
      </c>
      <c r="E1015" s="6" t="str">
        <f>"007"</f>
        <v>007</v>
      </c>
      <c r="F1015" s="6">
        <v>2023</v>
      </c>
      <c r="G1015" s="7">
        <v>92770300</v>
      </c>
      <c r="H1015" s="7">
        <v>63962700</v>
      </c>
      <c r="I1015" s="7">
        <v>28807600</v>
      </c>
    </row>
    <row r="1016" spans="1:9" x14ac:dyDescent="0.2">
      <c r="A1016" s="1" t="s">
        <v>328</v>
      </c>
      <c r="B1016" s="6" t="str">
        <f>"51181"</f>
        <v>51181</v>
      </c>
      <c r="C1016" s="1" t="s">
        <v>12</v>
      </c>
      <c r="D1016" s="1" t="s">
        <v>331</v>
      </c>
      <c r="E1016" s="6" t="str">
        <f>"004"</f>
        <v>004</v>
      </c>
      <c r="F1016" s="6">
        <v>2016</v>
      </c>
      <c r="G1016" s="7">
        <v>261372100</v>
      </c>
      <c r="H1016" s="7">
        <v>55323600</v>
      </c>
      <c r="I1016" s="7">
        <v>206048500</v>
      </c>
    </row>
    <row r="1017" spans="1:9" x14ac:dyDescent="0.2">
      <c r="A1017" s="1" t="s">
        <v>328</v>
      </c>
      <c r="B1017" s="6" t="str">
        <f>"51186"</f>
        <v>51186</v>
      </c>
      <c r="C1017" s="1" t="s">
        <v>12</v>
      </c>
      <c r="D1017" s="1" t="s">
        <v>332</v>
      </c>
      <c r="E1017" s="6" t="str">
        <f>"004"</f>
        <v>004</v>
      </c>
      <c r="F1017" s="6">
        <v>2006</v>
      </c>
      <c r="G1017" s="7">
        <v>56809900</v>
      </c>
      <c r="H1017" s="7">
        <v>31932700</v>
      </c>
      <c r="I1017" s="7">
        <v>24877200</v>
      </c>
    </row>
    <row r="1018" spans="1:9" x14ac:dyDescent="0.2">
      <c r="A1018" s="1" t="s">
        <v>328</v>
      </c>
      <c r="B1018" s="6" t="str">
        <f>"51186"</f>
        <v>51186</v>
      </c>
      <c r="C1018" s="1" t="s">
        <v>12</v>
      </c>
      <c r="D1018" s="1" t="s">
        <v>332</v>
      </c>
      <c r="E1018" s="6" t="str">
        <f>"005"</f>
        <v>005</v>
      </c>
      <c r="F1018" s="6">
        <v>2016</v>
      </c>
      <c r="G1018" s="7">
        <v>17065500</v>
      </c>
      <c r="H1018" s="7">
        <v>464700</v>
      </c>
      <c r="I1018" s="7">
        <v>16600800</v>
      </c>
    </row>
    <row r="1019" spans="1:9" x14ac:dyDescent="0.2">
      <c r="A1019" s="1" t="s">
        <v>328</v>
      </c>
      <c r="B1019" s="6" t="str">
        <f>"51186"</f>
        <v>51186</v>
      </c>
      <c r="C1019" s="1" t="s">
        <v>12</v>
      </c>
      <c r="D1019" s="1" t="s">
        <v>332</v>
      </c>
      <c r="E1019" s="6" t="str">
        <f>"006"</f>
        <v>006</v>
      </c>
      <c r="F1019" s="6">
        <v>2019</v>
      </c>
      <c r="G1019" s="7">
        <v>78289200</v>
      </c>
      <c r="H1019" s="7">
        <v>13935400</v>
      </c>
      <c r="I1019" s="7">
        <v>64353800</v>
      </c>
    </row>
    <row r="1020" spans="1:9" x14ac:dyDescent="0.2">
      <c r="A1020" s="1" t="s">
        <v>328</v>
      </c>
      <c r="B1020" s="6" t="str">
        <f>"51186"</f>
        <v>51186</v>
      </c>
      <c r="C1020" s="1" t="s">
        <v>12</v>
      </c>
      <c r="D1020" s="1" t="s">
        <v>332</v>
      </c>
      <c r="E1020" s="6" t="str">
        <f>"007"</f>
        <v>007</v>
      </c>
      <c r="F1020" s="6">
        <v>2021</v>
      </c>
      <c r="G1020" s="7">
        <v>89519900</v>
      </c>
      <c r="H1020" s="7">
        <v>36328100</v>
      </c>
      <c r="I1020" s="7">
        <v>53191800</v>
      </c>
    </row>
    <row r="1021" spans="1:9" x14ac:dyDescent="0.2">
      <c r="A1021" s="1" t="s">
        <v>328</v>
      </c>
      <c r="B1021" s="6" t="str">
        <f>"51191"</f>
        <v>51191</v>
      </c>
      <c r="C1021" s="1" t="s">
        <v>12</v>
      </c>
      <c r="D1021" s="1" t="s">
        <v>333</v>
      </c>
      <c r="E1021" s="6" t="str">
        <f>"003"</f>
        <v>003</v>
      </c>
      <c r="F1021" s="6">
        <v>2019</v>
      </c>
      <c r="G1021" s="7">
        <v>82868100</v>
      </c>
      <c r="H1021" s="7">
        <v>11118700</v>
      </c>
      <c r="I1021" s="7">
        <v>71749400</v>
      </c>
    </row>
    <row r="1022" spans="1:9" x14ac:dyDescent="0.2">
      <c r="A1022" s="1" t="s">
        <v>328</v>
      </c>
      <c r="B1022" s="6" t="str">
        <f>"51191"</f>
        <v>51191</v>
      </c>
      <c r="C1022" s="1" t="s">
        <v>12</v>
      </c>
      <c r="D1022" s="1" t="s">
        <v>333</v>
      </c>
      <c r="E1022" s="6" t="str">
        <f>"004"</f>
        <v>004</v>
      </c>
      <c r="F1022" s="6">
        <v>2020</v>
      </c>
      <c r="G1022" s="7">
        <v>16829100</v>
      </c>
      <c r="H1022" s="7">
        <v>8364200</v>
      </c>
      <c r="I1022" s="7">
        <v>8464900</v>
      </c>
    </row>
    <row r="1023" spans="1:9" x14ac:dyDescent="0.2">
      <c r="A1023" s="1" t="s">
        <v>328</v>
      </c>
      <c r="B1023" s="6" t="str">
        <f>"51194"</f>
        <v>51194</v>
      </c>
      <c r="C1023" s="1" t="s">
        <v>12</v>
      </c>
      <c r="D1023" s="1" t="s">
        <v>334</v>
      </c>
      <c r="E1023" s="6" t="str">
        <f>"001"</f>
        <v>001</v>
      </c>
      <c r="F1023" s="6">
        <v>2019</v>
      </c>
      <c r="G1023" s="7">
        <v>68685000</v>
      </c>
      <c r="H1023" s="7">
        <v>6053400</v>
      </c>
      <c r="I1023" s="7">
        <v>62631600</v>
      </c>
    </row>
    <row r="1024" spans="1:9" x14ac:dyDescent="0.2">
      <c r="A1024" s="1" t="s">
        <v>328</v>
      </c>
      <c r="B1024" s="6" t="str">
        <f>"51206"</f>
        <v>51206</v>
      </c>
      <c r="C1024" s="1" t="s">
        <v>8</v>
      </c>
      <c r="D1024" s="1" t="s">
        <v>335</v>
      </c>
      <c r="E1024" s="6" t="str">
        <f>"006"</f>
        <v>006</v>
      </c>
      <c r="F1024" s="6">
        <v>2023</v>
      </c>
      <c r="G1024" s="7">
        <v>68573200</v>
      </c>
      <c r="H1024" s="7">
        <v>41713800</v>
      </c>
      <c r="I1024" s="7">
        <v>26859400</v>
      </c>
    </row>
    <row r="1025" spans="1:9" x14ac:dyDescent="0.2">
      <c r="A1025" s="1" t="s">
        <v>328</v>
      </c>
      <c r="B1025" s="6" t="str">
        <f t="shared" ref="B1025:B1045" si="44">"51276"</f>
        <v>51276</v>
      </c>
      <c r="C1025" s="1" t="s">
        <v>8</v>
      </c>
      <c r="D1025" s="1" t="s">
        <v>328</v>
      </c>
      <c r="E1025" s="6" t="str">
        <f>"009"</f>
        <v>009</v>
      </c>
      <c r="F1025" s="6">
        <v>2000</v>
      </c>
      <c r="G1025" s="7">
        <v>30315400</v>
      </c>
      <c r="H1025" s="7">
        <v>665700</v>
      </c>
      <c r="I1025" s="7">
        <v>29649700</v>
      </c>
    </row>
    <row r="1026" spans="1:9" x14ac:dyDescent="0.2">
      <c r="A1026" s="1" t="s">
        <v>328</v>
      </c>
      <c r="B1026" s="6" t="str">
        <f t="shared" si="44"/>
        <v>51276</v>
      </c>
      <c r="C1026" s="1" t="s">
        <v>8</v>
      </c>
      <c r="D1026" s="1" t="s">
        <v>328</v>
      </c>
      <c r="E1026" s="6" t="str">
        <f>"010"</f>
        <v>010</v>
      </c>
      <c r="F1026" s="6">
        <v>2003</v>
      </c>
      <c r="G1026" s="7">
        <v>1544700</v>
      </c>
      <c r="H1026" s="7">
        <v>1180400</v>
      </c>
      <c r="I1026" s="7">
        <v>364300</v>
      </c>
    </row>
    <row r="1027" spans="1:9" x14ac:dyDescent="0.2">
      <c r="A1027" s="1" t="s">
        <v>328</v>
      </c>
      <c r="B1027" s="6" t="str">
        <f t="shared" si="44"/>
        <v>51276</v>
      </c>
      <c r="C1027" s="1" t="s">
        <v>8</v>
      </c>
      <c r="D1027" s="1" t="s">
        <v>328</v>
      </c>
      <c r="E1027" s="6" t="str">
        <f>"011"</f>
        <v>011</v>
      </c>
      <c r="F1027" s="6">
        <v>2005</v>
      </c>
      <c r="G1027" s="7">
        <v>6008700</v>
      </c>
      <c r="H1027" s="7">
        <v>3179700</v>
      </c>
      <c r="I1027" s="7">
        <v>2829000</v>
      </c>
    </row>
    <row r="1028" spans="1:9" x14ac:dyDescent="0.2">
      <c r="A1028" s="1" t="s">
        <v>328</v>
      </c>
      <c r="B1028" s="6" t="str">
        <f t="shared" si="44"/>
        <v>51276</v>
      </c>
      <c r="C1028" s="1" t="s">
        <v>8</v>
      </c>
      <c r="D1028" s="1" t="s">
        <v>328</v>
      </c>
      <c r="E1028" s="6" t="str">
        <f>"012"</f>
        <v>012</v>
      </c>
      <c r="F1028" s="6">
        <v>2006</v>
      </c>
      <c r="G1028" s="7">
        <v>7992000</v>
      </c>
      <c r="H1028" s="7">
        <v>378000</v>
      </c>
      <c r="I1028" s="7">
        <v>7614000</v>
      </c>
    </row>
    <row r="1029" spans="1:9" x14ac:dyDescent="0.2">
      <c r="A1029" s="1" t="s">
        <v>328</v>
      </c>
      <c r="B1029" s="6" t="str">
        <f t="shared" si="44"/>
        <v>51276</v>
      </c>
      <c r="C1029" s="1" t="s">
        <v>8</v>
      </c>
      <c r="D1029" s="1" t="s">
        <v>328</v>
      </c>
      <c r="E1029" s="6" t="str">
        <f>"013"</f>
        <v>013</v>
      </c>
      <c r="F1029" s="6">
        <v>2006</v>
      </c>
      <c r="G1029" s="7">
        <v>12010800</v>
      </c>
      <c r="H1029" s="7">
        <v>312300</v>
      </c>
      <c r="I1029" s="7">
        <v>11698500</v>
      </c>
    </row>
    <row r="1030" spans="1:9" x14ac:dyDescent="0.2">
      <c r="A1030" s="1" t="s">
        <v>328</v>
      </c>
      <c r="B1030" s="6" t="str">
        <f t="shared" si="44"/>
        <v>51276</v>
      </c>
      <c r="C1030" s="1" t="s">
        <v>8</v>
      </c>
      <c r="D1030" s="1" t="s">
        <v>328</v>
      </c>
      <c r="E1030" s="6" t="str">
        <f>"014"</f>
        <v>014</v>
      </c>
      <c r="F1030" s="6">
        <v>2006</v>
      </c>
      <c r="G1030" s="7">
        <v>4363000</v>
      </c>
      <c r="H1030" s="7">
        <v>4103200</v>
      </c>
      <c r="I1030" s="7">
        <v>259800</v>
      </c>
    </row>
    <row r="1031" spans="1:9" x14ac:dyDescent="0.2">
      <c r="A1031" s="1" t="s">
        <v>328</v>
      </c>
      <c r="B1031" s="6" t="str">
        <f t="shared" si="44"/>
        <v>51276</v>
      </c>
      <c r="C1031" s="1" t="s">
        <v>8</v>
      </c>
      <c r="D1031" s="1" t="s">
        <v>328</v>
      </c>
      <c r="E1031" s="6" t="str">
        <f>"016"</f>
        <v>016</v>
      </c>
      <c r="F1031" s="6">
        <v>2009</v>
      </c>
      <c r="G1031" s="7">
        <v>32607800</v>
      </c>
      <c r="H1031" s="7">
        <v>38217400</v>
      </c>
      <c r="I1031" s="7">
        <v>-5609600</v>
      </c>
    </row>
    <row r="1032" spans="1:9" x14ac:dyDescent="0.2">
      <c r="A1032" s="1" t="s">
        <v>328</v>
      </c>
      <c r="B1032" s="6" t="str">
        <f t="shared" si="44"/>
        <v>51276</v>
      </c>
      <c r="C1032" s="1" t="s">
        <v>8</v>
      </c>
      <c r="D1032" s="1" t="s">
        <v>328</v>
      </c>
      <c r="E1032" s="6" t="str">
        <f>"017"</f>
        <v>017</v>
      </c>
      <c r="F1032" s="6">
        <v>2012</v>
      </c>
      <c r="G1032" s="7">
        <v>443000</v>
      </c>
      <c r="H1032" s="7">
        <v>364900</v>
      </c>
      <c r="I1032" s="7">
        <v>78100</v>
      </c>
    </row>
    <row r="1033" spans="1:9" x14ac:dyDescent="0.2">
      <c r="A1033" s="1" t="s">
        <v>328</v>
      </c>
      <c r="B1033" s="6" t="str">
        <f t="shared" si="44"/>
        <v>51276</v>
      </c>
      <c r="C1033" s="1" t="s">
        <v>8</v>
      </c>
      <c r="D1033" s="1" t="s">
        <v>328</v>
      </c>
      <c r="E1033" s="6" t="str">
        <f>"018"</f>
        <v>018</v>
      </c>
      <c r="F1033" s="6">
        <v>2014</v>
      </c>
      <c r="G1033" s="7">
        <v>3620600</v>
      </c>
      <c r="H1033" s="7">
        <v>2894300</v>
      </c>
      <c r="I1033" s="7">
        <v>726300</v>
      </c>
    </row>
    <row r="1034" spans="1:9" x14ac:dyDescent="0.2">
      <c r="A1034" s="1" t="s">
        <v>328</v>
      </c>
      <c r="B1034" s="6" t="str">
        <f t="shared" si="44"/>
        <v>51276</v>
      </c>
      <c r="C1034" s="1" t="s">
        <v>8</v>
      </c>
      <c r="D1034" s="1" t="s">
        <v>328</v>
      </c>
      <c r="E1034" s="6" t="str">
        <f>"019"</f>
        <v>019</v>
      </c>
      <c r="F1034" s="6">
        <v>2016</v>
      </c>
      <c r="G1034" s="7">
        <v>82627500</v>
      </c>
      <c r="H1034" s="7">
        <v>35912500</v>
      </c>
      <c r="I1034" s="7">
        <v>46715000</v>
      </c>
    </row>
    <row r="1035" spans="1:9" x14ac:dyDescent="0.2">
      <c r="A1035" s="1" t="s">
        <v>328</v>
      </c>
      <c r="B1035" s="6" t="str">
        <f t="shared" si="44"/>
        <v>51276</v>
      </c>
      <c r="C1035" s="1" t="s">
        <v>8</v>
      </c>
      <c r="D1035" s="1" t="s">
        <v>328</v>
      </c>
      <c r="E1035" s="6" t="str">
        <f>"021"</f>
        <v>021</v>
      </c>
      <c r="F1035" s="6">
        <v>2019</v>
      </c>
      <c r="G1035" s="7">
        <v>41130900</v>
      </c>
      <c r="H1035" s="7">
        <v>0</v>
      </c>
      <c r="I1035" s="7">
        <v>41130900</v>
      </c>
    </row>
    <row r="1036" spans="1:9" x14ac:dyDescent="0.2">
      <c r="A1036" s="1" t="s">
        <v>328</v>
      </c>
      <c r="B1036" s="6" t="str">
        <f t="shared" si="44"/>
        <v>51276</v>
      </c>
      <c r="C1036" s="1" t="s">
        <v>8</v>
      </c>
      <c r="D1036" s="1" t="s">
        <v>328</v>
      </c>
      <c r="E1036" s="6" t="str">
        <f>"022"</f>
        <v>022</v>
      </c>
      <c r="F1036" s="6">
        <v>2019</v>
      </c>
      <c r="G1036" s="7">
        <v>520692600</v>
      </c>
      <c r="H1036" s="7">
        <v>327910800</v>
      </c>
      <c r="I1036" s="7">
        <v>192781800</v>
      </c>
    </row>
    <row r="1037" spans="1:9" x14ac:dyDescent="0.2">
      <c r="A1037" s="1" t="s">
        <v>328</v>
      </c>
      <c r="B1037" s="6" t="str">
        <f t="shared" si="44"/>
        <v>51276</v>
      </c>
      <c r="C1037" s="1" t="s">
        <v>8</v>
      </c>
      <c r="D1037" s="1" t="s">
        <v>328</v>
      </c>
      <c r="E1037" s="6" t="str">
        <f>"023"</f>
        <v>023</v>
      </c>
      <c r="F1037" s="6">
        <v>2019</v>
      </c>
      <c r="G1037" s="7">
        <v>165071800</v>
      </c>
      <c r="H1037" s="7">
        <v>105603300</v>
      </c>
      <c r="I1037" s="7">
        <v>59468500</v>
      </c>
    </row>
    <row r="1038" spans="1:9" x14ac:dyDescent="0.2">
      <c r="A1038" s="1" t="s">
        <v>328</v>
      </c>
      <c r="B1038" s="6" t="str">
        <f t="shared" si="44"/>
        <v>51276</v>
      </c>
      <c r="C1038" s="1" t="s">
        <v>8</v>
      </c>
      <c r="D1038" s="1" t="s">
        <v>328</v>
      </c>
      <c r="E1038" s="6" t="str">
        <f>"024"</f>
        <v>024</v>
      </c>
      <c r="F1038" s="6">
        <v>2020</v>
      </c>
      <c r="G1038" s="7">
        <v>0</v>
      </c>
      <c r="H1038" s="7">
        <v>50600</v>
      </c>
      <c r="I1038" s="7">
        <v>-50600</v>
      </c>
    </row>
    <row r="1039" spans="1:9" x14ac:dyDescent="0.2">
      <c r="A1039" s="1" t="s">
        <v>328</v>
      </c>
      <c r="B1039" s="6" t="str">
        <f t="shared" si="44"/>
        <v>51276</v>
      </c>
      <c r="C1039" s="1" t="s">
        <v>8</v>
      </c>
      <c r="D1039" s="1" t="s">
        <v>328</v>
      </c>
      <c r="E1039" s="6" t="str">
        <f>"025"</f>
        <v>025</v>
      </c>
      <c r="F1039" s="6">
        <v>2020</v>
      </c>
      <c r="G1039" s="7">
        <v>51230800</v>
      </c>
      <c r="H1039" s="7">
        <v>6116700</v>
      </c>
      <c r="I1039" s="7">
        <v>45114100</v>
      </c>
    </row>
    <row r="1040" spans="1:9" x14ac:dyDescent="0.2">
      <c r="A1040" s="1" t="s">
        <v>328</v>
      </c>
      <c r="B1040" s="6" t="str">
        <f t="shared" si="44"/>
        <v>51276</v>
      </c>
      <c r="C1040" s="1" t="s">
        <v>8</v>
      </c>
      <c r="D1040" s="1" t="s">
        <v>328</v>
      </c>
      <c r="E1040" s="6" t="str">
        <f>"026"</f>
        <v>026</v>
      </c>
      <c r="F1040" s="6">
        <v>2021</v>
      </c>
      <c r="G1040" s="7">
        <v>18798300</v>
      </c>
      <c r="H1040" s="7">
        <v>3612000</v>
      </c>
      <c r="I1040" s="7">
        <v>15186300</v>
      </c>
    </row>
    <row r="1041" spans="1:9" x14ac:dyDescent="0.2">
      <c r="A1041" s="1" t="s">
        <v>328</v>
      </c>
      <c r="B1041" s="6" t="str">
        <f t="shared" si="44"/>
        <v>51276</v>
      </c>
      <c r="C1041" s="1" t="s">
        <v>8</v>
      </c>
      <c r="D1041" s="1" t="s">
        <v>328</v>
      </c>
      <c r="E1041" s="6" t="str">
        <f>"027"</f>
        <v>027</v>
      </c>
      <c r="F1041" s="6">
        <v>2021</v>
      </c>
      <c r="G1041" s="7">
        <v>347290500</v>
      </c>
      <c r="H1041" s="7">
        <v>244856100</v>
      </c>
      <c r="I1041" s="7">
        <v>102434400</v>
      </c>
    </row>
    <row r="1042" spans="1:9" x14ac:dyDescent="0.2">
      <c r="A1042" s="1" t="s">
        <v>328</v>
      </c>
      <c r="B1042" s="6" t="str">
        <f t="shared" si="44"/>
        <v>51276</v>
      </c>
      <c r="C1042" s="1" t="s">
        <v>8</v>
      </c>
      <c r="D1042" s="1" t="s">
        <v>328</v>
      </c>
      <c r="E1042" s="6" t="str">
        <f>"028"</f>
        <v>028</v>
      </c>
      <c r="F1042" s="6">
        <v>2021</v>
      </c>
      <c r="G1042" s="7">
        <v>167682400</v>
      </c>
      <c r="H1042" s="7">
        <v>112560500</v>
      </c>
      <c r="I1042" s="7">
        <v>55121900</v>
      </c>
    </row>
    <row r="1043" spans="1:9" x14ac:dyDescent="0.2">
      <c r="A1043" s="1" t="s">
        <v>328</v>
      </c>
      <c r="B1043" s="6" t="str">
        <f t="shared" si="44"/>
        <v>51276</v>
      </c>
      <c r="C1043" s="1" t="s">
        <v>8</v>
      </c>
      <c r="D1043" s="1" t="s">
        <v>328</v>
      </c>
      <c r="E1043" s="6" t="str">
        <f>"029"</f>
        <v>029</v>
      </c>
      <c r="F1043" s="6">
        <v>2022</v>
      </c>
      <c r="G1043" s="7">
        <v>14117000</v>
      </c>
      <c r="H1043" s="7">
        <v>6186400</v>
      </c>
      <c r="I1043" s="7">
        <v>7930600</v>
      </c>
    </row>
    <row r="1044" spans="1:9" x14ac:dyDescent="0.2">
      <c r="A1044" s="1" t="s">
        <v>328</v>
      </c>
      <c r="B1044" s="6" t="str">
        <f t="shared" si="44"/>
        <v>51276</v>
      </c>
      <c r="C1044" s="1" t="s">
        <v>8</v>
      </c>
      <c r="D1044" s="1" t="s">
        <v>328</v>
      </c>
      <c r="E1044" s="6" t="str">
        <f>"030"</f>
        <v>030</v>
      </c>
      <c r="F1044" s="6">
        <v>2022</v>
      </c>
      <c r="G1044" s="7">
        <v>56641300</v>
      </c>
      <c r="H1044" s="7">
        <v>51386900</v>
      </c>
      <c r="I1044" s="7">
        <v>5254400</v>
      </c>
    </row>
    <row r="1045" spans="1:9" x14ac:dyDescent="0.2">
      <c r="A1045" s="1" t="s">
        <v>328</v>
      </c>
      <c r="B1045" s="6" t="str">
        <f t="shared" si="44"/>
        <v>51276</v>
      </c>
      <c r="C1045" s="1" t="s">
        <v>8</v>
      </c>
      <c r="D1045" s="1" t="s">
        <v>328</v>
      </c>
      <c r="E1045" s="6" t="str">
        <f>"031"</f>
        <v>031</v>
      </c>
      <c r="F1045" s="6">
        <v>2022</v>
      </c>
      <c r="G1045" s="7">
        <v>482033000</v>
      </c>
      <c r="H1045" s="7">
        <v>363701000</v>
      </c>
      <c r="I1045" s="7">
        <v>118332000</v>
      </c>
    </row>
    <row r="1046" spans="1:9" x14ac:dyDescent="0.2">
      <c r="A1046" s="1" t="s">
        <v>336</v>
      </c>
      <c r="B1046" s="6" t="str">
        <f>"52146"</f>
        <v>52146</v>
      </c>
      <c r="C1046" s="1" t="s">
        <v>12</v>
      </c>
      <c r="D1046" s="1" t="s">
        <v>337</v>
      </c>
      <c r="E1046" s="6" t="str">
        <f>"003"</f>
        <v>003</v>
      </c>
      <c r="F1046" s="6">
        <v>2024</v>
      </c>
      <c r="G1046" s="7">
        <v>11663600</v>
      </c>
      <c r="H1046" s="7">
        <v>5996100</v>
      </c>
      <c r="I1046" s="7">
        <v>5667500</v>
      </c>
    </row>
    <row r="1047" spans="1:9" x14ac:dyDescent="0.2">
      <c r="A1047" s="1" t="s">
        <v>336</v>
      </c>
      <c r="B1047" s="6" t="str">
        <f>"52186"</f>
        <v>52186</v>
      </c>
      <c r="C1047" s="1" t="s">
        <v>12</v>
      </c>
      <c r="D1047" s="1" t="s">
        <v>338</v>
      </c>
      <c r="E1047" s="6" t="str">
        <f>"003"</f>
        <v>003</v>
      </c>
      <c r="F1047" s="6">
        <v>1995</v>
      </c>
      <c r="G1047" s="7">
        <v>2062100</v>
      </c>
      <c r="H1047" s="7">
        <v>660900</v>
      </c>
      <c r="I1047" s="7">
        <v>1401200</v>
      </c>
    </row>
    <row r="1048" spans="1:9" x14ac:dyDescent="0.2">
      <c r="A1048" s="1" t="s">
        <v>336</v>
      </c>
      <c r="B1048" s="6" t="str">
        <f>"52186"</f>
        <v>52186</v>
      </c>
      <c r="C1048" s="1" t="s">
        <v>12</v>
      </c>
      <c r="D1048" s="1" t="s">
        <v>338</v>
      </c>
      <c r="E1048" s="6" t="str">
        <f>"006"</f>
        <v>006</v>
      </c>
      <c r="F1048" s="6">
        <v>2019</v>
      </c>
      <c r="G1048" s="7">
        <v>2341000</v>
      </c>
      <c r="H1048" s="7">
        <v>586000</v>
      </c>
      <c r="I1048" s="7">
        <v>1755000</v>
      </c>
    </row>
    <row r="1049" spans="1:9" x14ac:dyDescent="0.2">
      <c r="A1049" s="1" t="s">
        <v>336</v>
      </c>
      <c r="B1049" s="6" t="str">
        <f>"52276"</f>
        <v>52276</v>
      </c>
      <c r="C1049" s="1" t="s">
        <v>8</v>
      </c>
      <c r="D1049" s="1" t="s">
        <v>339</v>
      </c>
      <c r="E1049" s="6" t="str">
        <f>"006"</f>
        <v>006</v>
      </c>
      <c r="F1049" s="6">
        <v>2017</v>
      </c>
      <c r="G1049" s="7">
        <v>6114600</v>
      </c>
      <c r="H1049" s="7">
        <v>28300</v>
      </c>
      <c r="I1049" s="7">
        <v>6086300</v>
      </c>
    </row>
    <row r="1050" spans="1:9" x14ac:dyDescent="0.2">
      <c r="A1050" s="1" t="s">
        <v>340</v>
      </c>
      <c r="B1050" s="6" t="str">
        <f>"53165"</f>
        <v>53165</v>
      </c>
      <c r="C1050" s="1" t="s">
        <v>12</v>
      </c>
      <c r="D1050" s="1" t="s">
        <v>341</v>
      </c>
      <c r="E1050" s="6" t="str">
        <f>"003"</f>
        <v>003</v>
      </c>
      <c r="F1050" s="6">
        <v>2000</v>
      </c>
      <c r="G1050" s="7">
        <v>14955600</v>
      </c>
      <c r="H1050" s="7">
        <v>512700</v>
      </c>
      <c r="I1050" s="7">
        <v>14442900</v>
      </c>
    </row>
    <row r="1051" spans="1:9" x14ac:dyDescent="0.2">
      <c r="A1051" s="1" t="s">
        <v>340</v>
      </c>
      <c r="B1051" s="6" t="str">
        <f>"53206"</f>
        <v>53206</v>
      </c>
      <c r="C1051" s="1" t="s">
        <v>8</v>
      </c>
      <c r="D1051" s="1" t="s">
        <v>342</v>
      </c>
      <c r="E1051" s="6" t="str">
        <f>"014"</f>
        <v>014</v>
      </c>
      <c r="F1051" s="6">
        <v>2007</v>
      </c>
      <c r="G1051" s="7">
        <v>19299200</v>
      </c>
      <c r="H1051" s="7">
        <v>10510700</v>
      </c>
      <c r="I1051" s="7">
        <v>8788500</v>
      </c>
    </row>
    <row r="1052" spans="1:9" x14ac:dyDescent="0.2">
      <c r="A1052" s="1" t="s">
        <v>340</v>
      </c>
      <c r="B1052" s="6" t="str">
        <f>"53206"</f>
        <v>53206</v>
      </c>
      <c r="C1052" s="1" t="s">
        <v>8</v>
      </c>
      <c r="D1052" s="1" t="s">
        <v>342</v>
      </c>
      <c r="E1052" s="6" t="str">
        <f>"015"</f>
        <v>015</v>
      </c>
      <c r="F1052" s="6">
        <v>2023</v>
      </c>
      <c r="G1052" s="7">
        <v>84618200</v>
      </c>
      <c r="H1052" s="7">
        <v>63407700</v>
      </c>
      <c r="I1052" s="7">
        <v>21210500</v>
      </c>
    </row>
    <row r="1053" spans="1:9" x14ac:dyDescent="0.2">
      <c r="A1053" s="1" t="s">
        <v>340</v>
      </c>
      <c r="B1053" s="6" t="str">
        <f>"53210"</f>
        <v>53210</v>
      </c>
      <c r="C1053" s="1" t="s">
        <v>8</v>
      </c>
      <c r="D1053" s="1" t="s">
        <v>160</v>
      </c>
      <c r="E1053" s="6" t="str">
        <f>"006"</f>
        <v>006</v>
      </c>
      <c r="F1053" s="6">
        <v>2006</v>
      </c>
      <c r="G1053" s="7">
        <v>6555700</v>
      </c>
      <c r="H1053" s="7">
        <v>102100</v>
      </c>
      <c r="I1053" s="7">
        <v>6453600</v>
      </c>
    </row>
    <row r="1054" spans="1:9" x14ac:dyDescent="0.2">
      <c r="A1054" s="1" t="s">
        <v>340</v>
      </c>
      <c r="B1054" s="6" t="str">
        <f t="shared" ref="B1054:B1059" si="45">"53221"</f>
        <v>53221</v>
      </c>
      <c r="C1054" s="1" t="s">
        <v>8</v>
      </c>
      <c r="D1054" s="1" t="s">
        <v>343</v>
      </c>
      <c r="E1054" s="6" t="str">
        <f>"006"</f>
        <v>006</v>
      </c>
      <c r="F1054" s="6">
        <v>2000</v>
      </c>
      <c r="G1054" s="7">
        <v>46366200</v>
      </c>
      <c r="H1054" s="7">
        <v>10294100</v>
      </c>
      <c r="I1054" s="7">
        <v>36072100</v>
      </c>
    </row>
    <row r="1055" spans="1:9" x14ac:dyDescent="0.2">
      <c r="A1055" s="1" t="s">
        <v>340</v>
      </c>
      <c r="B1055" s="6" t="str">
        <f t="shared" si="45"/>
        <v>53221</v>
      </c>
      <c r="C1055" s="1" t="s">
        <v>8</v>
      </c>
      <c r="D1055" s="1" t="s">
        <v>343</v>
      </c>
      <c r="E1055" s="6" t="str">
        <f>"007"</f>
        <v>007</v>
      </c>
      <c r="F1055" s="6">
        <v>2000</v>
      </c>
      <c r="G1055" s="7">
        <v>4411600</v>
      </c>
      <c r="H1055" s="7">
        <v>650100</v>
      </c>
      <c r="I1055" s="7">
        <v>3761500</v>
      </c>
    </row>
    <row r="1056" spans="1:9" x14ac:dyDescent="0.2">
      <c r="A1056" s="1" t="s">
        <v>340</v>
      </c>
      <c r="B1056" s="6" t="str">
        <f t="shared" si="45"/>
        <v>53221</v>
      </c>
      <c r="C1056" s="1" t="s">
        <v>8</v>
      </c>
      <c r="D1056" s="1" t="s">
        <v>343</v>
      </c>
      <c r="E1056" s="6" t="str">
        <f>"009"</f>
        <v>009</v>
      </c>
      <c r="F1056" s="6">
        <v>2021</v>
      </c>
      <c r="G1056" s="7">
        <v>23348000</v>
      </c>
      <c r="H1056" s="7">
        <v>9930900</v>
      </c>
      <c r="I1056" s="7">
        <v>13417100</v>
      </c>
    </row>
    <row r="1057" spans="1:9" x14ac:dyDescent="0.2">
      <c r="A1057" s="1" t="s">
        <v>340</v>
      </c>
      <c r="B1057" s="6" t="str">
        <f t="shared" si="45"/>
        <v>53221</v>
      </c>
      <c r="C1057" s="1" t="s">
        <v>8</v>
      </c>
      <c r="D1057" s="1" t="s">
        <v>343</v>
      </c>
      <c r="E1057" s="6" t="str">
        <f>"010"</f>
        <v>010</v>
      </c>
      <c r="F1057" s="6">
        <v>2024</v>
      </c>
      <c r="G1057" s="7">
        <v>17083500</v>
      </c>
      <c r="H1057" s="7">
        <v>15483100</v>
      </c>
      <c r="I1057" s="7">
        <v>1600400</v>
      </c>
    </row>
    <row r="1058" spans="1:9" x14ac:dyDescent="0.2">
      <c r="A1058" s="1" t="s">
        <v>340</v>
      </c>
      <c r="B1058" s="6" t="str">
        <f t="shared" si="45"/>
        <v>53221</v>
      </c>
      <c r="C1058" s="1" t="s">
        <v>8</v>
      </c>
      <c r="D1058" s="1" t="s">
        <v>343</v>
      </c>
      <c r="E1058" s="6" t="str">
        <f>"011"</f>
        <v>011</v>
      </c>
      <c r="F1058" s="6">
        <v>2024</v>
      </c>
      <c r="G1058" s="7">
        <v>3808600</v>
      </c>
      <c r="H1058" s="7">
        <v>3724400</v>
      </c>
      <c r="I1058" s="7">
        <v>84200</v>
      </c>
    </row>
    <row r="1059" spans="1:9" x14ac:dyDescent="0.2">
      <c r="A1059" s="1" t="s">
        <v>340</v>
      </c>
      <c r="B1059" s="6" t="str">
        <f t="shared" si="45"/>
        <v>53221</v>
      </c>
      <c r="C1059" s="1" t="s">
        <v>8</v>
      </c>
      <c r="D1059" s="1" t="s">
        <v>343</v>
      </c>
      <c r="E1059" s="6" t="str">
        <f>"012"</f>
        <v>012</v>
      </c>
      <c r="F1059" s="6">
        <v>2024</v>
      </c>
      <c r="G1059" s="7">
        <v>3228400</v>
      </c>
      <c r="H1059" s="7">
        <v>1949200</v>
      </c>
      <c r="I1059" s="7">
        <v>1279200</v>
      </c>
    </row>
    <row r="1060" spans="1:9" x14ac:dyDescent="0.2">
      <c r="A1060" s="1" t="s">
        <v>340</v>
      </c>
      <c r="B1060" s="6" t="str">
        <f>"53222"</f>
        <v>53222</v>
      </c>
      <c r="C1060" s="1" t="s">
        <v>8</v>
      </c>
      <c r="D1060" s="1" t="s">
        <v>344</v>
      </c>
      <c r="E1060" s="6" t="str">
        <f>"005"</f>
        <v>005</v>
      </c>
      <c r="F1060" s="6">
        <v>2004</v>
      </c>
      <c r="G1060" s="7">
        <v>30079800</v>
      </c>
      <c r="H1060" s="7">
        <v>11299100</v>
      </c>
      <c r="I1060" s="7">
        <v>18780700</v>
      </c>
    </row>
    <row r="1061" spans="1:9" x14ac:dyDescent="0.2">
      <c r="A1061" s="1" t="s">
        <v>340</v>
      </c>
      <c r="B1061" s="6" t="str">
        <f>"53222"</f>
        <v>53222</v>
      </c>
      <c r="C1061" s="1" t="s">
        <v>8</v>
      </c>
      <c r="D1061" s="1" t="s">
        <v>344</v>
      </c>
      <c r="E1061" s="6" t="str">
        <f>"006"</f>
        <v>006</v>
      </c>
      <c r="F1061" s="6">
        <v>2006</v>
      </c>
      <c r="G1061" s="7">
        <v>10271200</v>
      </c>
      <c r="H1061" s="7">
        <v>1927800</v>
      </c>
      <c r="I1061" s="7">
        <v>8343400</v>
      </c>
    </row>
    <row r="1062" spans="1:9" x14ac:dyDescent="0.2">
      <c r="A1062" s="1" t="s">
        <v>340</v>
      </c>
      <c r="B1062" s="6" t="str">
        <f>"53222"</f>
        <v>53222</v>
      </c>
      <c r="C1062" s="1" t="s">
        <v>8</v>
      </c>
      <c r="D1062" s="1" t="s">
        <v>344</v>
      </c>
      <c r="E1062" s="6" t="str">
        <f>"008"</f>
        <v>008</v>
      </c>
      <c r="F1062" s="6">
        <v>2008</v>
      </c>
      <c r="G1062" s="7">
        <v>6261200</v>
      </c>
      <c r="H1062" s="7">
        <v>2695300</v>
      </c>
      <c r="I1062" s="7">
        <v>3565900</v>
      </c>
    </row>
    <row r="1063" spans="1:9" x14ac:dyDescent="0.2">
      <c r="A1063" s="1" t="s">
        <v>340</v>
      </c>
      <c r="B1063" s="6" t="str">
        <f>"53222"</f>
        <v>53222</v>
      </c>
      <c r="C1063" s="1" t="s">
        <v>8</v>
      </c>
      <c r="D1063" s="1" t="s">
        <v>344</v>
      </c>
      <c r="E1063" s="6" t="str">
        <f>"009"</f>
        <v>009</v>
      </c>
      <c r="F1063" s="6">
        <v>2018</v>
      </c>
      <c r="G1063" s="7">
        <v>2615600</v>
      </c>
      <c r="H1063" s="7">
        <v>500</v>
      </c>
      <c r="I1063" s="7">
        <v>2615100</v>
      </c>
    </row>
    <row r="1064" spans="1:9" x14ac:dyDescent="0.2">
      <c r="A1064" s="1" t="s">
        <v>340</v>
      </c>
      <c r="B1064" s="6" t="str">
        <f>"53222"</f>
        <v>53222</v>
      </c>
      <c r="C1064" s="1" t="s">
        <v>8</v>
      </c>
      <c r="D1064" s="1" t="s">
        <v>344</v>
      </c>
      <c r="E1064" s="6" t="str">
        <f>"010"</f>
        <v>010</v>
      </c>
      <c r="F1064" s="6">
        <v>2024</v>
      </c>
      <c r="G1064" s="7">
        <v>909300</v>
      </c>
      <c r="H1064" s="7">
        <v>888300</v>
      </c>
      <c r="I1064" s="7">
        <v>21000</v>
      </c>
    </row>
    <row r="1065" spans="1:9" x14ac:dyDescent="0.2">
      <c r="A1065" s="1" t="s">
        <v>340</v>
      </c>
      <c r="B1065" s="6" t="str">
        <f t="shared" ref="B1065:B1078" si="46">"53241"</f>
        <v>53241</v>
      </c>
      <c r="C1065" s="1" t="s">
        <v>8</v>
      </c>
      <c r="D1065" s="1" t="s">
        <v>345</v>
      </c>
      <c r="E1065" s="6" t="str">
        <f>"017"</f>
        <v>017</v>
      </c>
      <c r="F1065" s="6">
        <v>1997</v>
      </c>
      <c r="G1065" s="7">
        <v>3043700</v>
      </c>
      <c r="H1065" s="7">
        <v>1268300</v>
      </c>
      <c r="I1065" s="7">
        <v>1775400</v>
      </c>
    </row>
    <row r="1066" spans="1:9" x14ac:dyDescent="0.2">
      <c r="A1066" s="1" t="s">
        <v>340</v>
      </c>
      <c r="B1066" s="6" t="str">
        <f t="shared" si="46"/>
        <v>53241</v>
      </c>
      <c r="C1066" s="1" t="s">
        <v>8</v>
      </c>
      <c r="D1066" s="1" t="s">
        <v>345</v>
      </c>
      <c r="E1066" s="6" t="str">
        <f>"023"</f>
        <v>023</v>
      </c>
      <c r="F1066" s="6">
        <v>2002</v>
      </c>
      <c r="G1066" s="7">
        <v>7650700</v>
      </c>
      <c r="H1066" s="7">
        <v>4300600</v>
      </c>
      <c r="I1066" s="7">
        <v>3350100</v>
      </c>
    </row>
    <row r="1067" spans="1:9" x14ac:dyDescent="0.2">
      <c r="A1067" s="1" t="s">
        <v>340</v>
      </c>
      <c r="B1067" s="6" t="str">
        <f t="shared" si="46"/>
        <v>53241</v>
      </c>
      <c r="C1067" s="1" t="s">
        <v>8</v>
      </c>
      <c r="D1067" s="1" t="s">
        <v>345</v>
      </c>
      <c r="E1067" s="6" t="str">
        <f>"025"</f>
        <v>025</v>
      </c>
      <c r="F1067" s="6">
        <v>2003</v>
      </c>
      <c r="G1067" s="7">
        <v>18646200</v>
      </c>
      <c r="H1067" s="7">
        <v>12900</v>
      </c>
      <c r="I1067" s="7">
        <v>18633300</v>
      </c>
    </row>
    <row r="1068" spans="1:9" x14ac:dyDescent="0.2">
      <c r="A1068" s="1" t="s">
        <v>340</v>
      </c>
      <c r="B1068" s="6" t="str">
        <f t="shared" si="46"/>
        <v>53241</v>
      </c>
      <c r="C1068" s="1" t="s">
        <v>8</v>
      </c>
      <c r="D1068" s="1" t="s">
        <v>345</v>
      </c>
      <c r="E1068" s="6" t="str">
        <f>"028"</f>
        <v>028</v>
      </c>
      <c r="F1068" s="6">
        <v>2006</v>
      </c>
      <c r="G1068" s="7">
        <v>3389700</v>
      </c>
      <c r="H1068" s="7">
        <v>2366600</v>
      </c>
      <c r="I1068" s="7">
        <v>1023100</v>
      </c>
    </row>
    <row r="1069" spans="1:9" x14ac:dyDescent="0.2">
      <c r="A1069" s="1" t="s">
        <v>340</v>
      </c>
      <c r="B1069" s="6" t="str">
        <f t="shared" si="46"/>
        <v>53241</v>
      </c>
      <c r="C1069" s="1" t="s">
        <v>8</v>
      </c>
      <c r="D1069" s="1" t="s">
        <v>345</v>
      </c>
      <c r="E1069" s="6" t="str">
        <f>"032"</f>
        <v>032</v>
      </c>
      <c r="F1069" s="6">
        <v>2008</v>
      </c>
      <c r="G1069" s="7">
        <v>259076200</v>
      </c>
      <c r="H1069" s="7">
        <v>73995000</v>
      </c>
      <c r="I1069" s="7">
        <v>185081200</v>
      </c>
    </row>
    <row r="1070" spans="1:9" x14ac:dyDescent="0.2">
      <c r="A1070" s="1" t="s">
        <v>340</v>
      </c>
      <c r="B1070" s="6" t="str">
        <f t="shared" si="46"/>
        <v>53241</v>
      </c>
      <c r="C1070" s="1" t="s">
        <v>8</v>
      </c>
      <c r="D1070" s="1" t="s">
        <v>345</v>
      </c>
      <c r="E1070" s="6" t="str">
        <f>"033"</f>
        <v>033</v>
      </c>
      <c r="F1070" s="6">
        <v>2008</v>
      </c>
      <c r="G1070" s="7">
        <v>32162800</v>
      </c>
      <c r="H1070" s="7">
        <v>6738800</v>
      </c>
      <c r="I1070" s="7">
        <v>25424000</v>
      </c>
    </row>
    <row r="1071" spans="1:9" x14ac:dyDescent="0.2">
      <c r="A1071" s="1" t="s">
        <v>340</v>
      </c>
      <c r="B1071" s="6" t="str">
        <f t="shared" si="46"/>
        <v>53241</v>
      </c>
      <c r="C1071" s="1" t="s">
        <v>8</v>
      </c>
      <c r="D1071" s="1" t="s">
        <v>345</v>
      </c>
      <c r="E1071" s="6" t="str">
        <f>"035"</f>
        <v>035</v>
      </c>
      <c r="F1071" s="6">
        <v>2011</v>
      </c>
      <c r="G1071" s="7">
        <v>227039200</v>
      </c>
      <c r="H1071" s="7">
        <v>25427100</v>
      </c>
      <c r="I1071" s="7">
        <v>201612100</v>
      </c>
    </row>
    <row r="1072" spans="1:9" x14ac:dyDescent="0.2">
      <c r="A1072" s="1" t="s">
        <v>340</v>
      </c>
      <c r="B1072" s="6" t="str">
        <f t="shared" si="46"/>
        <v>53241</v>
      </c>
      <c r="C1072" s="1" t="s">
        <v>8</v>
      </c>
      <c r="D1072" s="1" t="s">
        <v>345</v>
      </c>
      <c r="E1072" s="6" t="str">
        <f>"036"</f>
        <v>036</v>
      </c>
      <c r="F1072" s="6">
        <v>2016</v>
      </c>
      <c r="G1072" s="7">
        <v>156495100</v>
      </c>
      <c r="H1072" s="7">
        <v>84383200</v>
      </c>
      <c r="I1072" s="7">
        <v>72111900</v>
      </c>
    </row>
    <row r="1073" spans="1:9" x14ac:dyDescent="0.2">
      <c r="A1073" s="1" t="s">
        <v>340</v>
      </c>
      <c r="B1073" s="6" t="str">
        <f t="shared" si="46"/>
        <v>53241</v>
      </c>
      <c r="C1073" s="1" t="s">
        <v>8</v>
      </c>
      <c r="D1073" s="1" t="s">
        <v>345</v>
      </c>
      <c r="E1073" s="6" t="str">
        <f>"037"</f>
        <v>037</v>
      </c>
      <c r="F1073" s="6">
        <v>2017</v>
      </c>
      <c r="G1073" s="7">
        <v>34412100</v>
      </c>
      <c r="H1073" s="7">
        <v>6980700</v>
      </c>
      <c r="I1073" s="7">
        <v>27431400</v>
      </c>
    </row>
    <row r="1074" spans="1:9" x14ac:dyDescent="0.2">
      <c r="A1074" s="1" t="s">
        <v>340</v>
      </c>
      <c r="B1074" s="6" t="str">
        <f t="shared" si="46"/>
        <v>53241</v>
      </c>
      <c r="C1074" s="1" t="s">
        <v>8</v>
      </c>
      <c r="D1074" s="1" t="s">
        <v>345</v>
      </c>
      <c r="E1074" s="6" t="str">
        <f>"038"</f>
        <v>038</v>
      </c>
      <c r="F1074" s="6">
        <v>2020</v>
      </c>
      <c r="G1074" s="7">
        <v>60695300</v>
      </c>
      <c r="H1074" s="7">
        <v>39013900</v>
      </c>
      <c r="I1074" s="7">
        <v>21681400</v>
      </c>
    </row>
    <row r="1075" spans="1:9" x14ac:dyDescent="0.2">
      <c r="A1075" s="1" t="s">
        <v>340</v>
      </c>
      <c r="B1075" s="6" t="str">
        <f t="shared" si="46"/>
        <v>53241</v>
      </c>
      <c r="C1075" s="1" t="s">
        <v>8</v>
      </c>
      <c r="D1075" s="1" t="s">
        <v>345</v>
      </c>
      <c r="E1075" s="6" t="str">
        <f>"039"</f>
        <v>039</v>
      </c>
      <c r="F1075" s="6">
        <v>2022</v>
      </c>
      <c r="G1075" s="7">
        <v>14176600</v>
      </c>
      <c r="H1075" s="7">
        <v>4074300</v>
      </c>
      <c r="I1075" s="7">
        <v>10102300</v>
      </c>
    </row>
    <row r="1076" spans="1:9" x14ac:dyDescent="0.2">
      <c r="A1076" s="1" t="s">
        <v>340</v>
      </c>
      <c r="B1076" s="6" t="str">
        <f t="shared" si="46"/>
        <v>53241</v>
      </c>
      <c r="C1076" s="1" t="s">
        <v>8</v>
      </c>
      <c r="D1076" s="1" t="s">
        <v>345</v>
      </c>
      <c r="E1076" s="6" t="str">
        <f>"040"</f>
        <v>040</v>
      </c>
      <c r="F1076" s="6">
        <v>2022</v>
      </c>
      <c r="G1076" s="7">
        <v>922900</v>
      </c>
      <c r="H1076" s="7">
        <v>818400</v>
      </c>
      <c r="I1076" s="7">
        <v>104500</v>
      </c>
    </row>
    <row r="1077" spans="1:9" x14ac:dyDescent="0.2">
      <c r="A1077" s="1" t="s">
        <v>340</v>
      </c>
      <c r="B1077" s="6" t="str">
        <f t="shared" si="46"/>
        <v>53241</v>
      </c>
      <c r="C1077" s="1" t="s">
        <v>8</v>
      </c>
      <c r="D1077" s="1" t="s">
        <v>345</v>
      </c>
      <c r="E1077" s="6" t="str">
        <f>"041"</f>
        <v>041</v>
      </c>
      <c r="F1077" s="6">
        <v>2023</v>
      </c>
      <c r="G1077" s="7">
        <v>46511000</v>
      </c>
      <c r="H1077" s="7">
        <v>41497800</v>
      </c>
      <c r="I1077" s="7">
        <v>5013200</v>
      </c>
    </row>
    <row r="1078" spans="1:9" x14ac:dyDescent="0.2">
      <c r="A1078" s="1" t="s">
        <v>340</v>
      </c>
      <c r="B1078" s="6" t="str">
        <f t="shared" si="46"/>
        <v>53241</v>
      </c>
      <c r="C1078" s="1" t="s">
        <v>8</v>
      </c>
      <c r="D1078" s="1" t="s">
        <v>345</v>
      </c>
      <c r="E1078" s="6" t="str">
        <f>"042"</f>
        <v>042</v>
      </c>
      <c r="F1078" s="6">
        <v>2023</v>
      </c>
      <c r="G1078" s="7">
        <v>14006700</v>
      </c>
      <c r="H1078" s="7">
        <v>11585600</v>
      </c>
      <c r="I1078" s="7">
        <v>2421100</v>
      </c>
    </row>
    <row r="1079" spans="1:9" x14ac:dyDescent="0.2">
      <c r="A1079" s="1" t="s">
        <v>340</v>
      </c>
      <c r="B1079" s="6" t="str">
        <f>"53257"</f>
        <v>53257</v>
      </c>
      <c r="C1079" s="1" t="s">
        <v>8</v>
      </c>
      <c r="D1079" s="1" t="s">
        <v>346</v>
      </c>
      <c r="E1079" s="6" t="str">
        <f>"006"</f>
        <v>006</v>
      </c>
      <c r="F1079" s="6">
        <v>2003</v>
      </c>
      <c r="G1079" s="7">
        <v>46982800</v>
      </c>
      <c r="H1079" s="7">
        <v>1906500</v>
      </c>
      <c r="I1079" s="7">
        <v>45076300</v>
      </c>
    </row>
    <row r="1080" spans="1:9" x14ac:dyDescent="0.2">
      <c r="A1080" s="1" t="s">
        <v>340</v>
      </c>
      <c r="B1080" s="6" t="str">
        <f>"53257"</f>
        <v>53257</v>
      </c>
      <c r="C1080" s="1" t="s">
        <v>8</v>
      </c>
      <c r="D1080" s="1" t="s">
        <v>346</v>
      </c>
      <c r="E1080" s="6" t="str">
        <f>"007"</f>
        <v>007</v>
      </c>
      <c r="F1080" s="6">
        <v>2004</v>
      </c>
      <c r="G1080" s="7">
        <v>15332800</v>
      </c>
      <c r="H1080" s="7">
        <v>7960700</v>
      </c>
      <c r="I1080" s="7">
        <v>7372100</v>
      </c>
    </row>
    <row r="1081" spans="1:9" x14ac:dyDescent="0.2">
      <c r="A1081" s="1" t="s">
        <v>340</v>
      </c>
      <c r="B1081" s="6" t="str">
        <f>"53257"</f>
        <v>53257</v>
      </c>
      <c r="C1081" s="1" t="s">
        <v>8</v>
      </c>
      <c r="D1081" s="1" t="s">
        <v>346</v>
      </c>
      <c r="E1081" s="6" t="str">
        <f>"009"</f>
        <v>009</v>
      </c>
      <c r="F1081" s="6">
        <v>2016</v>
      </c>
      <c r="G1081" s="7">
        <v>7443800</v>
      </c>
      <c r="H1081" s="7">
        <v>174700</v>
      </c>
      <c r="I1081" s="7">
        <v>7269100</v>
      </c>
    </row>
    <row r="1082" spans="1:9" x14ac:dyDescent="0.2">
      <c r="A1082" s="1" t="s">
        <v>340</v>
      </c>
      <c r="B1082" s="6" t="str">
        <f>"53257"</f>
        <v>53257</v>
      </c>
      <c r="C1082" s="1" t="s">
        <v>8</v>
      </c>
      <c r="D1082" s="1" t="s">
        <v>346</v>
      </c>
      <c r="E1082" s="6" t="str">
        <f>"010"</f>
        <v>010</v>
      </c>
      <c r="F1082" s="6">
        <v>2018</v>
      </c>
      <c r="G1082" s="7">
        <v>48598900</v>
      </c>
      <c r="H1082" s="7">
        <v>18878600</v>
      </c>
      <c r="I1082" s="7">
        <v>29720300</v>
      </c>
    </row>
    <row r="1083" spans="1:9" x14ac:dyDescent="0.2">
      <c r="A1083" s="1" t="s">
        <v>340</v>
      </c>
      <c r="B1083" s="6" t="str">
        <f>"53257"</f>
        <v>53257</v>
      </c>
      <c r="C1083" s="1" t="s">
        <v>8</v>
      </c>
      <c r="D1083" s="1" t="s">
        <v>346</v>
      </c>
      <c r="E1083" s="6" t="str">
        <f>"011"</f>
        <v>011</v>
      </c>
      <c r="F1083" s="6">
        <v>2021</v>
      </c>
      <c r="G1083" s="7">
        <v>112883800</v>
      </c>
      <c r="H1083" s="7">
        <v>4605300</v>
      </c>
      <c r="I1083" s="7">
        <v>108278500</v>
      </c>
    </row>
    <row r="1084" spans="1:9" x14ac:dyDescent="0.2">
      <c r="A1084" s="1" t="s">
        <v>347</v>
      </c>
      <c r="B1084" s="6" t="str">
        <f>"54106"</f>
        <v>54106</v>
      </c>
      <c r="C1084" s="1" t="s">
        <v>12</v>
      </c>
      <c r="D1084" s="1" t="s">
        <v>348</v>
      </c>
      <c r="E1084" s="6" t="str">
        <f>"002"</f>
        <v>002</v>
      </c>
      <c r="F1084" s="6">
        <v>2002</v>
      </c>
      <c r="G1084" s="7">
        <v>2506200</v>
      </c>
      <c r="H1084" s="7">
        <v>1272400</v>
      </c>
      <c r="I1084" s="7">
        <v>1233800</v>
      </c>
    </row>
    <row r="1085" spans="1:9" x14ac:dyDescent="0.2">
      <c r="A1085" s="1" t="s">
        <v>347</v>
      </c>
      <c r="B1085" s="6" t="str">
        <f>"54136"</f>
        <v>54136</v>
      </c>
      <c r="C1085" s="1" t="s">
        <v>12</v>
      </c>
      <c r="D1085" s="1" t="s">
        <v>349</v>
      </c>
      <c r="E1085" s="6" t="str">
        <f>"003"</f>
        <v>003</v>
      </c>
      <c r="F1085" s="6">
        <v>2010</v>
      </c>
      <c r="G1085" s="7">
        <v>752400</v>
      </c>
      <c r="H1085" s="7">
        <v>96600</v>
      </c>
      <c r="I1085" s="7">
        <v>655800</v>
      </c>
    </row>
    <row r="1086" spans="1:9" x14ac:dyDescent="0.2">
      <c r="A1086" s="1" t="s">
        <v>347</v>
      </c>
      <c r="B1086" s="6" t="str">
        <f>"54136"</f>
        <v>54136</v>
      </c>
      <c r="C1086" s="1" t="s">
        <v>12</v>
      </c>
      <c r="D1086" s="1" t="s">
        <v>349</v>
      </c>
      <c r="E1086" s="6" t="str">
        <f>"004"</f>
        <v>004</v>
      </c>
      <c r="F1086" s="6">
        <v>2024</v>
      </c>
      <c r="G1086" s="7">
        <v>3675300</v>
      </c>
      <c r="H1086" s="7">
        <v>1794500</v>
      </c>
      <c r="I1086" s="7">
        <v>1880800</v>
      </c>
    </row>
    <row r="1087" spans="1:9" x14ac:dyDescent="0.2">
      <c r="A1087" s="1" t="s">
        <v>347</v>
      </c>
      <c r="B1087" s="6" t="str">
        <f>"54191"</f>
        <v>54191</v>
      </c>
      <c r="C1087" s="1" t="s">
        <v>12</v>
      </c>
      <c r="D1087" s="1" t="s">
        <v>350</v>
      </c>
      <c r="E1087" s="6" t="str">
        <f>"001"</f>
        <v>001</v>
      </c>
      <c r="F1087" s="6">
        <v>2013</v>
      </c>
      <c r="G1087" s="7">
        <v>11968400</v>
      </c>
      <c r="H1087" s="7">
        <v>638900</v>
      </c>
      <c r="I1087" s="7">
        <v>11329500</v>
      </c>
    </row>
    <row r="1088" spans="1:9" x14ac:dyDescent="0.2">
      <c r="A1088" s="1" t="s">
        <v>347</v>
      </c>
      <c r="B1088" s="6" t="str">
        <f t="shared" ref="B1088:B1096" si="47">"54246"</f>
        <v>54246</v>
      </c>
      <c r="C1088" s="1" t="s">
        <v>8</v>
      </c>
      <c r="D1088" s="1" t="s">
        <v>351</v>
      </c>
      <c r="E1088" s="6" t="str">
        <f>"008"</f>
        <v>008</v>
      </c>
      <c r="F1088" s="6">
        <v>2003</v>
      </c>
      <c r="G1088" s="7">
        <v>7300900</v>
      </c>
      <c r="H1088" s="7">
        <v>854700</v>
      </c>
      <c r="I1088" s="7">
        <v>6446200</v>
      </c>
    </row>
    <row r="1089" spans="1:9" x14ac:dyDescent="0.2">
      <c r="A1089" s="1" t="s">
        <v>347</v>
      </c>
      <c r="B1089" s="6" t="str">
        <f t="shared" si="47"/>
        <v>54246</v>
      </c>
      <c r="C1089" s="1" t="s">
        <v>8</v>
      </c>
      <c r="D1089" s="1" t="s">
        <v>351</v>
      </c>
      <c r="E1089" s="6" t="str">
        <f>"009"</f>
        <v>009</v>
      </c>
      <c r="F1089" s="6">
        <v>2006</v>
      </c>
      <c r="G1089" s="7">
        <v>10391900</v>
      </c>
      <c r="H1089" s="7">
        <v>460900</v>
      </c>
      <c r="I1089" s="7">
        <v>9931000</v>
      </c>
    </row>
    <row r="1090" spans="1:9" x14ac:dyDescent="0.2">
      <c r="A1090" s="1" t="s">
        <v>347</v>
      </c>
      <c r="B1090" s="6" t="str">
        <f t="shared" si="47"/>
        <v>54246</v>
      </c>
      <c r="C1090" s="1" t="s">
        <v>8</v>
      </c>
      <c r="D1090" s="1" t="s">
        <v>351</v>
      </c>
      <c r="E1090" s="6" t="str">
        <f>"010"</f>
        <v>010</v>
      </c>
      <c r="F1090" s="6">
        <v>2007</v>
      </c>
      <c r="G1090" s="7">
        <v>2096100</v>
      </c>
      <c r="H1090" s="7">
        <v>403500</v>
      </c>
      <c r="I1090" s="7">
        <v>1692600</v>
      </c>
    </row>
    <row r="1091" spans="1:9" x14ac:dyDescent="0.2">
      <c r="A1091" s="1" t="s">
        <v>347</v>
      </c>
      <c r="B1091" s="6" t="str">
        <f t="shared" si="47"/>
        <v>54246</v>
      </c>
      <c r="C1091" s="1" t="s">
        <v>8</v>
      </c>
      <c r="D1091" s="1" t="s">
        <v>351</v>
      </c>
      <c r="E1091" s="6" t="str">
        <f>"011"</f>
        <v>011</v>
      </c>
      <c r="F1091" s="6">
        <v>2011</v>
      </c>
      <c r="G1091" s="7">
        <v>10829300</v>
      </c>
      <c r="H1091" s="7">
        <v>30200</v>
      </c>
      <c r="I1091" s="7">
        <v>10799100</v>
      </c>
    </row>
    <row r="1092" spans="1:9" x14ac:dyDescent="0.2">
      <c r="A1092" s="1" t="s">
        <v>347</v>
      </c>
      <c r="B1092" s="6" t="str">
        <f t="shared" si="47"/>
        <v>54246</v>
      </c>
      <c r="C1092" s="1" t="s">
        <v>8</v>
      </c>
      <c r="D1092" s="1" t="s">
        <v>351</v>
      </c>
      <c r="E1092" s="6" t="str">
        <f>"012"</f>
        <v>012</v>
      </c>
      <c r="F1092" s="6">
        <v>2020</v>
      </c>
      <c r="G1092" s="7">
        <v>5374600</v>
      </c>
      <c r="H1092" s="7">
        <v>0</v>
      </c>
      <c r="I1092" s="7">
        <v>5374600</v>
      </c>
    </row>
    <row r="1093" spans="1:9" x14ac:dyDescent="0.2">
      <c r="A1093" s="1" t="s">
        <v>347</v>
      </c>
      <c r="B1093" s="6" t="str">
        <f t="shared" si="47"/>
        <v>54246</v>
      </c>
      <c r="C1093" s="1" t="s">
        <v>8</v>
      </c>
      <c r="D1093" s="1" t="s">
        <v>351</v>
      </c>
      <c r="E1093" s="6" t="str">
        <f>"013"</f>
        <v>013</v>
      </c>
      <c r="F1093" s="6">
        <v>2021</v>
      </c>
      <c r="G1093" s="7">
        <v>9847100</v>
      </c>
      <c r="H1093" s="7">
        <v>97500</v>
      </c>
      <c r="I1093" s="7">
        <v>9749600</v>
      </c>
    </row>
    <row r="1094" spans="1:9" x14ac:dyDescent="0.2">
      <c r="A1094" s="1" t="s">
        <v>347</v>
      </c>
      <c r="B1094" s="6" t="str">
        <f t="shared" si="47"/>
        <v>54246</v>
      </c>
      <c r="C1094" s="1" t="s">
        <v>8</v>
      </c>
      <c r="D1094" s="1" t="s">
        <v>351</v>
      </c>
      <c r="E1094" s="6" t="str">
        <f>"014"</f>
        <v>014</v>
      </c>
      <c r="F1094" s="6">
        <v>2021</v>
      </c>
      <c r="G1094" s="7">
        <v>4049300</v>
      </c>
      <c r="H1094" s="7">
        <v>1272000</v>
      </c>
      <c r="I1094" s="7">
        <v>2777300</v>
      </c>
    </row>
    <row r="1095" spans="1:9" x14ac:dyDescent="0.2">
      <c r="A1095" s="1" t="s">
        <v>347</v>
      </c>
      <c r="B1095" s="6" t="str">
        <f t="shared" si="47"/>
        <v>54246</v>
      </c>
      <c r="C1095" s="1" t="s">
        <v>8</v>
      </c>
      <c r="D1095" s="1" t="s">
        <v>351</v>
      </c>
      <c r="E1095" s="6" t="str">
        <f>"015"</f>
        <v>015</v>
      </c>
      <c r="F1095" s="6">
        <v>2021</v>
      </c>
      <c r="G1095" s="7">
        <v>19100</v>
      </c>
      <c r="H1095" s="7">
        <v>50200</v>
      </c>
      <c r="I1095" s="7">
        <v>-31100</v>
      </c>
    </row>
    <row r="1096" spans="1:9" x14ac:dyDescent="0.2">
      <c r="A1096" s="1" t="s">
        <v>347</v>
      </c>
      <c r="B1096" s="6" t="str">
        <f t="shared" si="47"/>
        <v>54246</v>
      </c>
      <c r="C1096" s="1" t="s">
        <v>8</v>
      </c>
      <c r="D1096" s="1" t="s">
        <v>351</v>
      </c>
      <c r="E1096" s="6" t="str">
        <f>"016"</f>
        <v>016</v>
      </c>
      <c r="F1096" s="6">
        <v>2021</v>
      </c>
      <c r="G1096" s="7">
        <v>1068600</v>
      </c>
      <c r="H1096" s="7">
        <v>0</v>
      </c>
      <c r="I1096" s="7">
        <v>1068600</v>
      </c>
    </row>
    <row r="1097" spans="1:9" x14ac:dyDescent="0.2">
      <c r="A1097" s="1" t="s">
        <v>352</v>
      </c>
      <c r="B1097" s="6" t="str">
        <f>"55106"</f>
        <v>55106</v>
      </c>
      <c r="C1097" s="1" t="s">
        <v>12</v>
      </c>
      <c r="D1097" s="1" t="s">
        <v>353</v>
      </c>
      <c r="E1097" s="6" t="str">
        <f>"005"</f>
        <v>005</v>
      </c>
      <c r="F1097" s="6">
        <v>1995</v>
      </c>
      <c r="G1097" s="7">
        <v>4772000</v>
      </c>
      <c r="H1097" s="7">
        <v>22500</v>
      </c>
      <c r="I1097" s="7">
        <v>4749500</v>
      </c>
    </row>
    <row r="1098" spans="1:9" x14ac:dyDescent="0.2">
      <c r="A1098" s="1" t="s">
        <v>352</v>
      </c>
      <c r="B1098" s="6" t="str">
        <f>"55106"</f>
        <v>55106</v>
      </c>
      <c r="C1098" s="1" t="s">
        <v>12</v>
      </c>
      <c r="D1098" s="1" t="s">
        <v>353</v>
      </c>
      <c r="E1098" s="6" t="str">
        <f>"006"</f>
        <v>006</v>
      </c>
      <c r="F1098" s="6">
        <v>2005</v>
      </c>
      <c r="G1098" s="7">
        <v>19351200</v>
      </c>
      <c r="H1098" s="7">
        <v>12224500</v>
      </c>
      <c r="I1098" s="7">
        <v>7126700</v>
      </c>
    </row>
    <row r="1099" spans="1:9" x14ac:dyDescent="0.2">
      <c r="A1099" s="1" t="s">
        <v>352</v>
      </c>
      <c r="B1099" s="6" t="str">
        <f>"55106"</f>
        <v>55106</v>
      </c>
      <c r="C1099" s="1" t="s">
        <v>12</v>
      </c>
      <c r="D1099" s="1" t="s">
        <v>353</v>
      </c>
      <c r="E1099" s="6" t="str">
        <f>"007"</f>
        <v>007</v>
      </c>
      <c r="F1099" s="6">
        <v>2007</v>
      </c>
      <c r="G1099" s="7">
        <v>24224400</v>
      </c>
      <c r="H1099" s="7">
        <v>5002200</v>
      </c>
      <c r="I1099" s="7">
        <v>19222200</v>
      </c>
    </row>
    <row r="1100" spans="1:9" x14ac:dyDescent="0.2">
      <c r="A1100" s="1" t="s">
        <v>352</v>
      </c>
      <c r="B1100" s="6" t="str">
        <f>"55136"</f>
        <v>55136</v>
      </c>
      <c r="C1100" s="1" t="s">
        <v>12</v>
      </c>
      <c r="D1100" s="1" t="s">
        <v>354</v>
      </c>
      <c r="E1100" s="6" t="str">
        <f>"007"</f>
        <v>007</v>
      </c>
      <c r="F1100" s="6">
        <v>2024</v>
      </c>
      <c r="G1100" s="7">
        <v>1264100</v>
      </c>
      <c r="H1100" s="7">
        <v>1200200</v>
      </c>
      <c r="I1100" s="7">
        <v>63900</v>
      </c>
    </row>
    <row r="1101" spans="1:9" x14ac:dyDescent="0.2">
      <c r="A1101" s="1" t="s">
        <v>352</v>
      </c>
      <c r="B1101" s="6" t="str">
        <f>"55176"</f>
        <v>55176</v>
      </c>
      <c r="C1101" s="1" t="s">
        <v>12</v>
      </c>
      <c r="D1101" s="1" t="s">
        <v>355</v>
      </c>
      <c r="E1101" s="6" t="str">
        <f>"002"</f>
        <v>002</v>
      </c>
      <c r="F1101" s="6">
        <v>2020</v>
      </c>
      <c r="G1101" s="7">
        <v>23343500</v>
      </c>
      <c r="H1101" s="7">
        <v>41200</v>
      </c>
      <c r="I1101" s="7">
        <v>23302300</v>
      </c>
    </row>
    <row r="1102" spans="1:9" x14ac:dyDescent="0.2">
      <c r="A1102" s="1" t="s">
        <v>352</v>
      </c>
      <c r="B1102" s="6" t="str">
        <f>"55176"</f>
        <v>55176</v>
      </c>
      <c r="C1102" s="1" t="s">
        <v>12</v>
      </c>
      <c r="D1102" s="1" t="s">
        <v>355</v>
      </c>
      <c r="E1102" s="6" t="str">
        <f>"003"</f>
        <v>003</v>
      </c>
      <c r="F1102" s="6">
        <v>2020</v>
      </c>
      <c r="G1102" s="7">
        <v>27538600</v>
      </c>
      <c r="H1102" s="7">
        <v>49800</v>
      </c>
      <c r="I1102" s="7">
        <v>27488800</v>
      </c>
    </row>
    <row r="1103" spans="1:9" x14ac:dyDescent="0.2">
      <c r="A1103" s="1" t="s">
        <v>352</v>
      </c>
      <c r="B1103" s="6" t="str">
        <f>"55176"</f>
        <v>55176</v>
      </c>
      <c r="C1103" s="1" t="s">
        <v>12</v>
      </c>
      <c r="D1103" s="1" t="s">
        <v>355</v>
      </c>
      <c r="E1103" s="6" t="str">
        <f>"004"</f>
        <v>004</v>
      </c>
      <c r="F1103" s="6">
        <v>2022</v>
      </c>
      <c r="G1103" s="7">
        <v>55626900</v>
      </c>
      <c r="H1103" s="7">
        <v>3610200</v>
      </c>
      <c r="I1103" s="7">
        <v>52016700</v>
      </c>
    </row>
    <row r="1104" spans="1:9" x14ac:dyDescent="0.2">
      <c r="A1104" s="1" t="s">
        <v>352</v>
      </c>
      <c r="B1104" s="6" t="str">
        <f>"55181"</f>
        <v>55181</v>
      </c>
      <c r="C1104" s="1" t="s">
        <v>12</v>
      </c>
      <c r="D1104" s="1" t="s">
        <v>356</v>
      </c>
      <c r="E1104" s="6" t="str">
        <f>"003"</f>
        <v>003</v>
      </c>
      <c r="F1104" s="6">
        <v>2005</v>
      </c>
      <c r="G1104" s="7">
        <v>1767500</v>
      </c>
      <c r="H1104" s="7">
        <v>1609100</v>
      </c>
      <c r="I1104" s="7">
        <v>158400</v>
      </c>
    </row>
    <row r="1105" spans="1:9" x14ac:dyDescent="0.2">
      <c r="A1105" s="1" t="s">
        <v>352</v>
      </c>
      <c r="B1105" s="6" t="str">
        <f>"55181"</f>
        <v>55181</v>
      </c>
      <c r="C1105" s="1" t="s">
        <v>12</v>
      </c>
      <c r="D1105" s="1" t="s">
        <v>356</v>
      </c>
      <c r="E1105" s="6" t="str">
        <f>"005"</f>
        <v>005</v>
      </c>
      <c r="F1105" s="6">
        <v>2020</v>
      </c>
      <c r="G1105" s="7">
        <v>3221100</v>
      </c>
      <c r="H1105" s="7">
        <v>801700</v>
      </c>
      <c r="I1105" s="7">
        <v>2419400</v>
      </c>
    </row>
    <row r="1106" spans="1:9" x14ac:dyDescent="0.2">
      <c r="A1106" s="1" t="s">
        <v>352</v>
      </c>
      <c r="B1106" s="6" t="str">
        <f>"55181"</f>
        <v>55181</v>
      </c>
      <c r="C1106" s="1" t="s">
        <v>12</v>
      </c>
      <c r="D1106" s="1" t="s">
        <v>356</v>
      </c>
      <c r="E1106" s="6" t="str">
        <f>"006"</f>
        <v>006</v>
      </c>
      <c r="F1106" s="6">
        <v>2023</v>
      </c>
      <c r="G1106" s="7">
        <v>16125000</v>
      </c>
      <c r="H1106" s="7">
        <v>8816500</v>
      </c>
      <c r="I1106" s="7">
        <v>7308500</v>
      </c>
    </row>
    <row r="1107" spans="1:9" x14ac:dyDescent="0.2">
      <c r="A1107" s="1" t="s">
        <v>352</v>
      </c>
      <c r="B1107" s="6" t="str">
        <f>"55192"</f>
        <v>55192</v>
      </c>
      <c r="C1107" s="1" t="s">
        <v>12</v>
      </c>
      <c r="D1107" s="1" t="s">
        <v>357</v>
      </c>
      <c r="E1107" s="6" t="str">
        <f>"004"</f>
        <v>004</v>
      </c>
      <c r="F1107" s="6">
        <v>2005</v>
      </c>
      <c r="G1107" s="7">
        <v>589300</v>
      </c>
      <c r="H1107" s="7">
        <v>186000</v>
      </c>
      <c r="I1107" s="7">
        <v>403300</v>
      </c>
    </row>
    <row r="1108" spans="1:9" x14ac:dyDescent="0.2">
      <c r="A1108" s="1" t="s">
        <v>352</v>
      </c>
      <c r="B1108" s="6" t="str">
        <f>"55192"</f>
        <v>55192</v>
      </c>
      <c r="C1108" s="1" t="s">
        <v>12</v>
      </c>
      <c r="D1108" s="1" t="s">
        <v>357</v>
      </c>
      <c r="E1108" s="6" t="str">
        <f>"005"</f>
        <v>005</v>
      </c>
      <c r="F1108" s="6">
        <v>2023</v>
      </c>
      <c r="G1108" s="7">
        <v>16600800</v>
      </c>
      <c r="H1108" s="7">
        <v>12463600</v>
      </c>
      <c r="I1108" s="7">
        <v>4137200</v>
      </c>
    </row>
    <row r="1109" spans="1:9" x14ac:dyDescent="0.2">
      <c r="A1109" s="1" t="s">
        <v>352</v>
      </c>
      <c r="B1109" s="6" t="str">
        <f>"55231"</f>
        <v>55231</v>
      </c>
      <c r="C1109" s="1" t="s">
        <v>8</v>
      </c>
      <c r="D1109" s="1" t="s">
        <v>358</v>
      </c>
      <c r="E1109" s="6" t="str">
        <f>"004"</f>
        <v>004</v>
      </c>
      <c r="F1109" s="6">
        <v>2022</v>
      </c>
      <c r="G1109" s="7">
        <v>73300</v>
      </c>
      <c r="H1109" s="7">
        <v>0</v>
      </c>
      <c r="I1109" s="7">
        <v>73300</v>
      </c>
    </row>
    <row r="1110" spans="1:9" x14ac:dyDescent="0.2">
      <c r="A1110" s="1" t="s">
        <v>352</v>
      </c>
      <c r="B1110" s="6" t="str">
        <f>"55236"</f>
        <v>55236</v>
      </c>
      <c r="C1110" s="1" t="s">
        <v>8</v>
      </c>
      <c r="D1110" s="1" t="s">
        <v>359</v>
      </c>
      <c r="E1110" s="6" t="str">
        <f>"005"</f>
        <v>005</v>
      </c>
      <c r="F1110" s="6">
        <v>2017</v>
      </c>
      <c r="G1110" s="7">
        <v>104302800</v>
      </c>
      <c r="H1110" s="7">
        <v>6322400</v>
      </c>
      <c r="I1110" s="7">
        <v>97980400</v>
      </c>
    </row>
    <row r="1111" spans="1:9" x14ac:dyDescent="0.2">
      <c r="A1111" s="1" t="s">
        <v>352</v>
      </c>
      <c r="B1111" s="6" t="str">
        <f>"55236"</f>
        <v>55236</v>
      </c>
      <c r="C1111" s="1" t="s">
        <v>8</v>
      </c>
      <c r="D1111" s="1" t="s">
        <v>359</v>
      </c>
      <c r="E1111" s="6" t="str">
        <f>"006"</f>
        <v>006</v>
      </c>
      <c r="F1111" s="6">
        <v>2018</v>
      </c>
      <c r="G1111" s="7">
        <v>178774300</v>
      </c>
      <c r="H1111" s="7">
        <v>93787000</v>
      </c>
      <c r="I1111" s="7">
        <v>84987300</v>
      </c>
    </row>
    <row r="1112" spans="1:9" x14ac:dyDescent="0.2">
      <c r="A1112" s="1" t="s">
        <v>352</v>
      </c>
      <c r="B1112" s="6" t="str">
        <f>"55261"</f>
        <v>55261</v>
      </c>
      <c r="C1112" s="1" t="s">
        <v>8</v>
      </c>
      <c r="D1112" s="1" t="s">
        <v>360</v>
      </c>
      <c r="E1112" s="6" t="str">
        <f>"007"</f>
        <v>007</v>
      </c>
      <c r="F1112" s="6">
        <v>2003</v>
      </c>
      <c r="G1112" s="7">
        <v>19109000</v>
      </c>
      <c r="H1112" s="7">
        <v>2528700</v>
      </c>
      <c r="I1112" s="7">
        <v>16580300</v>
      </c>
    </row>
    <row r="1113" spans="1:9" x14ac:dyDescent="0.2">
      <c r="A1113" s="1" t="s">
        <v>352</v>
      </c>
      <c r="B1113" s="6" t="str">
        <f>"55261"</f>
        <v>55261</v>
      </c>
      <c r="C1113" s="1" t="s">
        <v>8</v>
      </c>
      <c r="D1113" s="1" t="s">
        <v>360</v>
      </c>
      <c r="E1113" s="6" t="str">
        <f>"009"</f>
        <v>009</v>
      </c>
      <c r="F1113" s="6">
        <v>2008</v>
      </c>
      <c r="G1113" s="7">
        <v>16504000</v>
      </c>
      <c r="H1113" s="7">
        <v>7524700</v>
      </c>
      <c r="I1113" s="7">
        <v>8979300</v>
      </c>
    </row>
    <row r="1114" spans="1:9" x14ac:dyDescent="0.2">
      <c r="A1114" s="1" t="s">
        <v>352</v>
      </c>
      <c r="B1114" s="6" t="str">
        <f>"55261"</f>
        <v>55261</v>
      </c>
      <c r="C1114" s="1" t="s">
        <v>8</v>
      </c>
      <c r="D1114" s="1" t="s">
        <v>360</v>
      </c>
      <c r="E1114" s="6" t="str">
        <f>"010"</f>
        <v>010</v>
      </c>
      <c r="F1114" s="6">
        <v>2014</v>
      </c>
      <c r="G1114" s="7">
        <v>14627100</v>
      </c>
      <c r="H1114" s="7">
        <v>3491300</v>
      </c>
      <c r="I1114" s="7">
        <v>11135800</v>
      </c>
    </row>
    <row r="1115" spans="1:9" x14ac:dyDescent="0.2">
      <c r="A1115" s="1" t="s">
        <v>352</v>
      </c>
      <c r="B1115" s="6" t="str">
        <f>"55261"</f>
        <v>55261</v>
      </c>
      <c r="C1115" s="1" t="s">
        <v>8</v>
      </c>
      <c r="D1115" s="1" t="s">
        <v>360</v>
      </c>
      <c r="E1115" s="6" t="str">
        <f>"011"</f>
        <v>011</v>
      </c>
      <c r="F1115" s="6">
        <v>2022</v>
      </c>
      <c r="G1115" s="7">
        <v>4297700</v>
      </c>
      <c r="H1115" s="7">
        <v>0</v>
      </c>
      <c r="I1115" s="7">
        <v>4297700</v>
      </c>
    </row>
    <row r="1116" spans="1:9" x14ac:dyDescent="0.2">
      <c r="A1116" s="1" t="s">
        <v>352</v>
      </c>
      <c r="B1116" s="6" t="str">
        <f>"55261"</f>
        <v>55261</v>
      </c>
      <c r="C1116" s="1" t="s">
        <v>8</v>
      </c>
      <c r="D1116" s="1" t="s">
        <v>360</v>
      </c>
      <c r="E1116" s="6" t="str">
        <f>"012"</f>
        <v>012</v>
      </c>
      <c r="F1116" s="6">
        <v>2024</v>
      </c>
      <c r="G1116" s="7">
        <v>446400</v>
      </c>
      <c r="H1116" s="7">
        <v>0</v>
      </c>
      <c r="I1116" s="7">
        <v>446400</v>
      </c>
    </row>
    <row r="1117" spans="1:9" x14ac:dyDescent="0.2">
      <c r="A1117" s="1" t="s">
        <v>352</v>
      </c>
      <c r="B1117" s="6" t="str">
        <f t="shared" ref="B1117:B1124" si="48">"55276"</f>
        <v>55276</v>
      </c>
      <c r="C1117" s="1" t="s">
        <v>8</v>
      </c>
      <c r="D1117" s="1" t="s">
        <v>307</v>
      </c>
      <c r="E1117" s="6" t="str">
        <f>"005"</f>
        <v>005</v>
      </c>
      <c r="F1117" s="6">
        <v>1994</v>
      </c>
      <c r="G1117" s="7">
        <v>28713800</v>
      </c>
      <c r="H1117" s="7">
        <v>467400</v>
      </c>
      <c r="I1117" s="7">
        <v>28246400</v>
      </c>
    </row>
    <row r="1118" spans="1:9" x14ac:dyDescent="0.2">
      <c r="A1118" s="1" t="s">
        <v>352</v>
      </c>
      <c r="B1118" s="6" t="str">
        <f t="shared" si="48"/>
        <v>55276</v>
      </c>
      <c r="C1118" s="1" t="s">
        <v>8</v>
      </c>
      <c r="D1118" s="1" t="s">
        <v>307</v>
      </c>
      <c r="E1118" s="6" t="str">
        <f>"010"</f>
        <v>010</v>
      </c>
      <c r="F1118" s="6">
        <v>2014</v>
      </c>
      <c r="G1118" s="7">
        <v>51077700</v>
      </c>
      <c r="H1118" s="7">
        <v>133300</v>
      </c>
      <c r="I1118" s="7">
        <v>50944400</v>
      </c>
    </row>
    <row r="1119" spans="1:9" x14ac:dyDescent="0.2">
      <c r="A1119" s="1" t="s">
        <v>352</v>
      </c>
      <c r="B1119" s="6" t="str">
        <f t="shared" si="48"/>
        <v>55276</v>
      </c>
      <c r="C1119" s="1" t="s">
        <v>8</v>
      </c>
      <c r="D1119" s="1" t="s">
        <v>307</v>
      </c>
      <c r="E1119" s="6" t="str">
        <f>"011"</f>
        <v>011</v>
      </c>
      <c r="F1119" s="6">
        <v>2016</v>
      </c>
      <c r="G1119" s="7">
        <v>11661900</v>
      </c>
      <c r="H1119" s="7">
        <v>7647000</v>
      </c>
      <c r="I1119" s="7">
        <v>4014900</v>
      </c>
    </row>
    <row r="1120" spans="1:9" x14ac:dyDescent="0.2">
      <c r="A1120" s="1" t="s">
        <v>352</v>
      </c>
      <c r="B1120" s="6" t="str">
        <f t="shared" si="48"/>
        <v>55276</v>
      </c>
      <c r="C1120" s="1" t="s">
        <v>8</v>
      </c>
      <c r="D1120" s="1" t="s">
        <v>307</v>
      </c>
      <c r="E1120" s="6" t="str">
        <f>"012"</f>
        <v>012</v>
      </c>
      <c r="F1120" s="6">
        <v>2016</v>
      </c>
      <c r="G1120" s="7">
        <v>2501900</v>
      </c>
      <c r="H1120" s="7">
        <v>0</v>
      </c>
      <c r="I1120" s="7">
        <v>2501900</v>
      </c>
    </row>
    <row r="1121" spans="1:17" x14ac:dyDescent="0.2">
      <c r="A1121" s="1" t="s">
        <v>352</v>
      </c>
      <c r="B1121" s="6" t="str">
        <f t="shared" si="48"/>
        <v>55276</v>
      </c>
      <c r="C1121" s="1" t="s">
        <v>8</v>
      </c>
      <c r="D1121" s="1" t="s">
        <v>307</v>
      </c>
      <c r="E1121" s="6" t="str">
        <f>"013"</f>
        <v>013</v>
      </c>
      <c r="F1121" s="6">
        <v>2018</v>
      </c>
      <c r="G1121" s="7">
        <v>20924700</v>
      </c>
      <c r="H1121" s="7">
        <v>6186700</v>
      </c>
      <c r="I1121" s="7">
        <v>14738000</v>
      </c>
    </row>
    <row r="1122" spans="1:17" x14ac:dyDescent="0.2">
      <c r="A1122" s="1" t="s">
        <v>352</v>
      </c>
      <c r="B1122" s="6" t="str">
        <f t="shared" si="48"/>
        <v>55276</v>
      </c>
      <c r="C1122" s="1" t="s">
        <v>8</v>
      </c>
      <c r="D1122" s="1" t="s">
        <v>307</v>
      </c>
      <c r="E1122" s="6" t="str">
        <f>"016"</f>
        <v>016</v>
      </c>
      <c r="F1122" s="6">
        <v>2020</v>
      </c>
      <c r="G1122" s="7">
        <v>13744300</v>
      </c>
      <c r="H1122" s="7">
        <v>3600</v>
      </c>
      <c r="I1122" s="7">
        <v>13740700</v>
      </c>
    </row>
    <row r="1123" spans="1:17" x14ac:dyDescent="0.2">
      <c r="A1123" s="1" t="s">
        <v>352</v>
      </c>
      <c r="B1123" s="6" t="str">
        <f t="shared" si="48"/>
        <v>55276</v>
      </c>
      <c r="C1123" s="1" t="s">
        <v>8</v>
      </c>
      <c r="D1123" s="1" t="s">
        <v>307</v>
      </c>
      <c r="E1123" s="6" t="str">
        <f>"017"</f>
        <v>017</v>
      </c>
      <c r="F1123" s="6">
        <v>2021</v>
      </c>
      <c r="G1123" s="7">
        <v>15527000</v>
      </c>
      <c r="H1123" s="7">
        <v>2498400</v>
      </c>
      <c r="I1123" s="7">
        <v>13028600</v>
      </c>
    </row>
    <row r="1124" spans="1:17" x14ac:dyDescent="0.2">
      <c r="A1124" s="1" t="s">
        <v>352</v>
      </c>
      <c r="B1124" s="6" t="str">
        <f t="shared" si="48"/>
        <v>55276</v>
      </c>
      <c r="C1124" s="1" t="s">
        <v>8</v>
      </c>
      <c r="D1124" s="1" t="s">
        <v>307</v>
      </c>
      <c r="E1124" s="6" t="str">
        <f>"019"</f>
        <v>019</v>
      </c>
      <c r="F1124" s="6">
        <v>2023</v>
      </c>
      <c r="G1124" s="7">
        <v>0</v>
      </c>
      <c r="H1124" s="7">
        <v>12700</v>
      </c>
      <c r="I1124" s="7">
        <v>-12700</v>
      </c>
    </row>
    <row r="1125" spans="1:17" x14ac:dyDescent="0.2">
      <c r="A1125" s="1" t="s">
        <v>361</v>
      </c>
      <c r="B1125" s="6" t="str">
        <f>"56146"</f>
        <v>56146</v>
      </c>
      <c r="C1125" s="1" t="s">
        <v>12</v>
      </c>
      <c r="D1125" s="1" t="s">
        <v>362</v>
      </c>
      <c r="E1125" s="6" t="str">
        <f>"003"</f>
        <v>003</v>
      </c>
      <c r="F1125" s="6">
        <v>2005</v>
      </c>
      <c r="G1125" s="7">
        <v>476851900</v>
      </c>
      <c r="H1125" s="7">
        <v>43963700</v>
      </c>
      <c r="I1125" s="7">
        <v>432888200</v>
      </c>
    </row>
    <row r="1126" spans="1:17" x14ac:dyDescent="0.2">
      <c r="A1126" s="1" t="s">
        <v>361</v>
      </c>
      <c r="B1126" s="6" t="str">
        <f>"56146"</f>
        <v>56146</v>
      </c>
      <c r="C1126" s="1" t="s">
        <v>12</v>
      </c>
      <c r="D1126" s="1" t="s">
        <v>362</v>
      </c>
      <c r="E1126" s="6" t="str">
        <f>"004"</f>
        <v>004</v>
      </c>
      <c r="F1126" s="6">
        <v>2007</v>
      </c>
      <c r="G1126" s="7">
        <v>52901700</v>
      </c>
      <c r="H1126" s="7">
        <v>30672900</v>
      </c>
      <c r="I1126" s="7">
        <v>22228800</v>
      </c>
    </row>
    <row r="1127" spans="1:17" x14ac:dyDescent="0.2">
      <c r="A1127" s="1" t="s">
        <v>361</v>
      </c>
      <c r="B1127" s="6" t="str">
        <f>"56149"</f>
        <v>56149</v>
      </c>
      <c r="C1127" s="1" t="s">
        <v>12</v>
      </c>
      <c r="D1127" s="1" t="s">
        <v>363</v>
      </c>
      <c r="E1127" s="6" t="str">
        <f>"002"</f>
        <v>002</v>
      </c>
      <c r="F1127" s="6">
        <v>2018</v>
      </c>
      <c r="G1127" s="7">
        <v>2935900</v>
      </c>
      <c r="H1127" s="7">
        <v>1739100</v>
      </c>
      <c r="I1127" s="7">
        <v>1196800</v>
      </c>
    </row>
    <row r="1128" spans="1:17" x14ac:dyDescent="0.2">
      <c r="A1128" s="1" t="s">
        <v>361</v>
      </c>
      <c r="B1128" s="6" t="str">
        <f>"56161"</f>
        <v>56161</v>
      </c>
      <c r="C1128" s="1" t="s">
        <v>12</v>
      </c>
      <c r="D1128" s="1" t="s">
        <v>364</v>
      </c>
      <c r="E1128" s="6" t="str">
        <f>"001"</f>
        <v>001</v>
      </c>
      <c r="F1128" s="6">
        <v>1997</v>
      </c>
      <c r="G1128" s="7">
        <v>8564300</v>
      </c>
      <c r="H1128" s="7">
        <v>3027800</v>
      </c>
      <c r="I1128" s="7">
        <v>5536500</v>
      </c>
    </row>
    <row r="1129" spans="1:17" x14ac:dyDescent="0.2">
      <c r="A1129" s="1" t="s">
        <v>361</v>
      </c>
      <c r="B1129" s="6" t="str">
        <f>"56171"</f>
        <v>56171</v>
      </c>
      <c r="C1129" s="1" t="s">
        <v>12</v>
      </c>
      <c r="D1129" s="1" t="s">
        <v>365</v>
      </c>
      <c r="E1129" s="6" t="str">
        <f>"002"</f>
        <v>002</v>
      </c>
      <c r="F1129" s="6">
        <v>2006</v>
      </c>
      <c r="G1129" s="7">
        <v>7201100</v>
      </c>
      <c r="H1129" s="7">
        <v>169500</v>
      </c>
      <c r="I1129" s="7">
        <v>7031600</v>
      </c>
    </row>
    <row r="1130" spans="1:17" x14ac:dyDescent="0.2">
      <c r="A1130" s="1" t="s">
        <v>361</v>
      </c>
      <c r="B1130" s="6" t="str">
        <f>"56172"</f>
        <v>56172</v>
      </c>
      <c r="C1130" s="1" t="s">
        <v>12</v>
      </c>
      <c r="D1130" s="1" t="s">
        <v>366</v>
      </c>
      <c r="E1130" s="6" t="str">
        <f>"005"</f>
        <v>005</v>
      </c>
      <c r="F1130" s="6">
        <v>2018</v>
      </c>
      <c r="G1130" s="7">
        <v>12671100</v>
      </c>
      <c r="H1130" s="7">
        <v>17192300</v>
      </c>
      <c r="I1130" s="7">
        <v>-4521200</v>
      </c>
    </row>
    <row r="1131" spans="1:17" x14ac:dyDescent="0.2">
      <c r="A1131" s="1" t="s">
        <v>361</v>
      </c>
      <c r="B1131" s="6" t="str">
        <f>"56172"</f>
        <v>56172</v>
      </c>
      <c r="C1131" s="1" t="s">
        <v>12</v>
      </c>
      <c r="D1131" s="1" t="s">
        <v>366</v>
      </c>
      <c r="E1131" s="6" t="str">
        <f>"006"</f>
        <v>006</v>
      </c>
      <c r="F1131" s="6">
        <v>2018</v>
      </c>
      <c r="G1131" s="7">
        <v>17233200</v>
      </c>
      <c r="H1131" s="7">
        <v>9988600</v>
      </c>
      <c r="I1131" s="7">
        <v>7244600</v>
      </c>
    </row>
    <row r="1132" spans="1:17" x14ac:dyDescent="0.2">
      <c r="A1132" s="1" t="s">
        <v>361</v>
      </c>
      <c r="B1132" s="6" t="str">
        <f>"56176"</f>
        <v>56176</v>
      </c>
      <c r="C1132" s="1" t="s">
        <v>12</v>
      </c>
      <c r="D1132" s="1" t="s">
        <v>367</v>
      </c>
      <c r="E1132" s="6" t="str">
        <f>"002"</f>
        <v>002</v>
      </c>
      <c r="F1132" s="6">
        <v>2020</v>
      </c>
      <c r="G1132" s="8">
        <v>5776500</v>
      </c>
      <c r="H1132" s="8">
        <v>1229400</v>
      </c>
      <c r="I1132" s="8">
        <v>4547100</v>
      </c>
    </row>
    <row r="1133" spans="1:17" s="14" customFormat="1" x14ac:dyDescent="0.2">
      <c r="A1133" s="12" t="s">
        <v>361</v>
      </c>
      <c r="B1133" s="13" t="str">
        <f>"56181"</f>
        <v>56181</v>
      </c>
      <c r="C1133" s="12" t="s">
        <v>12</v>
      </c>
      <c r="D1133" s="12" t="s">
        <v>368</v>
      </c>
      <c r="E1133" s="6" t="str">
        <f>"006"</f>
        <v>006</v>
      </c>
      <c r="F1133" s="13">
        <v>2002</v>
      </c>
      <c r="G1133" s="9">
        <v>14034300</v>
      </c>
      <c r="H1133" s="8">
        <v>1206300</v>
      </c>
      <c r="I1133" s="8">
        <v>12828000</v>
      </c>
    </row>
    <row r="1134" spans="1:17" x14ac:dyDescent="0.2">
      <c r="A1134" s="1" t="s">
        <v>361</v>
      </c>
      <c r="B1134" s="6" t="str">
        <f>"56181"</f>
        <v>56181</v>
      </c>
      <c r="C1134" s="1" t="s">
        <v>12</v>
      </c>
      <c r="D1134" s="1" t="s">
        <v>368</v>
      </c>
      <c r="E1134" s="6" t="str">
        <f>"007"</f>
        <v>007</v>
      </c>
      <c r="F1134" s="6">
        <v>2005</v>
      </c>
      <c r="G1134" s="15">
        <v>10163700</v>
      </c>
      <c r="H1134" s="7">
        <v>706200</v>
      </c>
      <c r="I1134" s="7">
        <v>9457500</v>
      </c>
    </row>
    <row r="1135" spans="1:17" x14ac:dyDescent="0.2">
      <c r="A1135" s="1" t="s">
        <v>361</v>
      </c>
      <c r="B1135" s="6" t="str">
        <f>"56181"</f>
        <v>56181</v>
      </c>
      <c r="C1135" s="1" t="s">
        <v>12</v>
      </c>
      <c r="D1135" s="1" t="s">
        <v>368</v>
      </c>
      <c r="E1135" s="6" t="str">
        <f>"008"</f>
        <v>008</v>
      </c>
      <c r="F1135" s="6">
        <v>2005</v>
      </c>
      <c r="G1135" s="7">
        <v>39027200</v>
      </c>
      <c r="H1135" s="7">
        <v>14893500</v>
      </c>
      <c r="I1135" s="7">
        <v>24133700</v>
      </c>
      <c r="O1135" s="7"/>
    </row>
    <row r="1136" spans="1:17" x14ac:dyDescent="0.2">
      <c r="A1136" s="1" t="s">
        <v>361</v>
      </c>
      <c r="B1136" s="6" t="str">
        <f>"56181"</f>
        <v>56181</v>
      </c>
      <c r="C1136" s="1" t="s">
        <v>12</v>
      </c>
      <c r="D1136" s="1" t="s">
        <v>368</v>
      </c>
      <c r="E1136" s="6" t="str">
        <f>"009"</f>
        <v>009</v>
      </c>
      <c r="F1136" s="6">
        <v>2015</v>
      </c>
      <c r="G1136" s="7">
        <v>23956700</v>
      </c>
      <c r="H1136" s="7">
        <v>3331900</v>
      </c>
      <c r="I1136" s="7">
        <v>20624800</v>
      </c>
      <c r="O1136" s="14"/>
      <c r="P1136" s="14"/>
      <c r="Q1136" s="14"/>
    </row>
    <row r="1137" spans="1:15" x14ac:dyDescent="0.2">
      <c r="A1137" s="1" t="s">
        <v>361</v>
      </c>
      <c r="B1137" s="6" t="str">
        <f>"56181"</f>
        <v>56181</v>
      </c>
      <c r="C1137" s="1" t="s">
        <v>12</v>
      </c>
      <c r="D1137" s="1" t="s">
        <v>368</v>
      </c>
      <c r="E1137" s="6" t="str">
        <f>"010"</f>
        <v>010</v>
      </c>
      <c r="F1137" s="6">
        <v>2023</v>
      </c>
      <c r="G1137" s="7">
        <v>9459200</v>
      </c>
      <c r="H1137" s="7">
        <v>5078000</v>
      </c>
      <c r="I1137" s="7">
        <v>4381200</v>
      </c>
      <c r="O1137" s="11"/>
    </row>
    <row r="1138" spans="1:15" x14ac:dyDescent="0.2">
      <c r="A1138" s="1" t="s">
        <v>361</v>
      </c>
      <c r="B1138" s="6" t="str">
        <f>"56182"</f>
        <v>56182</v>
      </c>
      <c r="C1138" s="1" t="s">
        <v>12</v>
      </c>
      <c r="D1138" s="1" t="s">
        <v>369</v>
      </c>
      <c r="E1138" s="6" t="str">
        <f>"006"</f>
        <v>006</v>
      </c>
      <c r="F1138" s="6">
        <v>2017</v>
      </c>
      <c r="G1138" s="7">
        <v>43302100</v>
      </c>
      <c r="H1138" s="7">
        <v>16025900</v>
      </c>
      <c r="I1138" s="7">
        <v>27276200</v>
      </c>
    </row>
    <row r="1139" spans="1:15" x14ac:dyDescent="0.2">
      <c r="A1139" s="1" t="s">
        <v>361</v>
      </c>
      <c r="B1139" s="6" t="str">
        <f>"56191"</f>
        <v>56191</v>
      </c>
      <c r="C1139" s="1" t="s">
        <v>12</v>
      </c>
      <c r="D1139" s="1" t="s">
        <v>370</v>
      </c>
      <c r="E1139" s="6" t="str">
        <f>"003"</f>
        <v>003</v>
      </c>
      <c r="F1139" s="6">
        <v>2018</v>
      </c>
      <c r="G1139" s="7">
        <v>30913200</v>
      </c>
      <c r="H1139" s="7">
        <v>10277700</v>
      </c>
      <c r="I1139" s="7">
        <v>20635500</v>
      </c>
    </row>
    <row r="1140" spans="1:15" x14ac:dyDescent="0.2">
      <c r="A1140" s="1" t="s">
        <v>361</v>
      </c>
      <c r="B1140" s="6" t="str">
        <f>"56206"</f>
        <v>56206</v>
      </c>
      <c r="C1140" s="1" t="s">
        <v>8</v>
      </c>
      <c r="D1140" s="1" t="s">
        <v>371</v>
      </c>
      <c r="E1140" s="6" t="str">
        <f>"007"</f>
        <v>007</v>
      </c>
      <c r="F1140" s="6">
        <v>2006</v>
      </c>
      <c r="G1140" s="7">
        <v>10673500</v>
      </c>
      <c r="H1140" s="7">
        <v>248300</v>
      </c>
      <c r="I1140" s="7">
        <v>10425200</v>
      </c>
    </row>
    <row r="1141" spans="1:15" x14ac:dyDescent="0.2">
      <c r="A1141" s="1" t="s">
        <v>361</v>
      </c>
      <c r="B1141" s="6" t="str">
        <f>"56206"</f>
        <v>56206</v>
      </c>
      <c r="C1141" s="1" t="s">
        <v>8</v>
      </c>
      <c r="D1141" s="1" t="s">
        <v>371</v>
      </c>
      <c r="E1141" s="6" t="str">
        <f>"008"</f>
        <v>008</v>
      </c>
      <c r="F1141" s="6">
        <v>2006</v>
      </c>
      <c r="G1141" s="7">
        <v>38463000</v>
      </c>
      <c r="H1141" s="7">
        <v>26027100</v>
      </c>
      <c r="I1141" s="7">
        <v>12435900</v>
      </c>
    </row>
    <row r="1142" spans="1:15" x14ac:dyDescent="0.2">
      <c r="A1142" s="1" t="s">
        <v>361</v>
      </c>
      <c r="B1142" s="6" t="str">
        <f>"56206"</f>
        <v>56206</v>
      </c>
      <c r="C1142" s="1" t="s">
        <v>8</v>
      </c>
      <c r="D1142" s="1" t="s">
        <v>371</v>
      </c>
      <c r="E1142" s="6" t="str">
        <f>"010"</f>
        <v>010</v>
      </c>
      <c r="F1142" s="6">
        <v>2020</v>
      </c>
      <c r="G1142" s="7">
        <v>15085400</v>
      </c>
      <c r="H1142" s="7">
        <v>3564200</v>
      </c>
      <c r="I1142" s="7">
        <v>11521200</v>
      </c>
    </row>
    <row r="1143" spans="1:15" x14ac:dyDescent="0.2">
      <c r="A1143" s="1" t="s">
        <v>361</v>
      </c>
      <c r="B1143" s="6" t="str">
        <f>"56206"</f>
        <v>56206</v>
      </c>
      <c r="C1143" s="1" t="s">
        <v>8</v>
      </c>
      <c r="D1143" s="1" t="s">
        <v>371</v>
      </c>
      <c r="E1143" s="6" t="str">
        <f>"011"</f>
        <v>011</v>
      </c>
      <c r="F1143" s="6">
        <v>2020</v>
      </c>
      <c r="G1143" s="7">
        <v>80144300</v>
      </c>
      <c r="H1143" s="7">
        <v>36784400</v>
      </c>
      <c r="I1143" s="7">
        <v>43359900</v>
      </c>
    </row>
    <row r="1144" spans="1:15" x14ac:dyDescent="0.2">
      <c r="A1144" s="1" t="s">
        <v>361</v>
      </c>
      <c r="B1144" s="6" t="str">
        <f>"56206"</f>
        <v>56206</v>
      </c>
      <c r="C1144" s="1" t="s">
        <v>8</v>
      </c>
      <c r="D1144" s="1" t="s">
        <v>371</v>
      </c>
      <c r="E1144" s="6" t="str">
        <f>"012"</f>
        <v>012</v>
      </c>
      <c r="F1144" s="6">
        <v>2021</v>
      </c>
      <c r="G1144" s="7">
        <v>66457100</v>
      </c>
      <c r="H1144" s="7">
        <v>16788100</v>
      </c>
      <c r="I1144" s="7">
        <v>49669000</v>
      </c>
    </row>
    <row r="1145" spans="1:15" x14ac:dyDescent="0.2">
      <c r="A1145" s="1" t="s">
        <v>361</v>
      </c>
      <c r="B1145" s="6" t="str">
        <f>"56276"</f>
        <v>56276</v>
      </c>
      <c r="C1145" s="1" t="s">
        <v>8</v>
      </c>
      <c r="D1145" s="1" t="s">
        <v>372</v>
      </c>
      <c r="E1145" s="6" t="str">
        <f>"006"</f>
        <v>006</v>
      </c>
      <c r="F1145" s="6">
        <v>2000</v>
      </c>
      <c r="G1145" s="7">
        <v>11059600</v>
      </c>
      <c r="H1145" s="7">
        <v>6934300</v>
      </c>
      <c r="I1145" s="7">
        <v>4125300</v>
      </c>
    </row>
    <row r="1146" spans="1:15" x14ac:dyDescent="0.2">
      <c r="A1146" s="1" t="s">
        <v>361</v>
      </c>
      <c r="B1146" s="6" t="str">
        <f>"56276"</f>
        <v>56276</v>
      </c>
      <c r="C1146" s="1" t="s">
        <v>8</v>
      </c>
      <c r="D1146" s="1" t="s">
        <v>372</v>
      </c>
      <c r="E1146" s="6" t="str">
        <f>"008"</f>
        <v>008</v>
      </c>
      <c r="F1146" s="6">
        <v>2008</v>
      </c>
      <c r="G1146" s="7">
        <v>10376700</v>
      </c>
      <c r="H1146" s="7">
        <v>1619700</v>
      </c>
      <c r="I1146" s="7">
        <v>8757000</v>
      </c>
    </row>
    <row r="1147" spans="1:15" x14ac:dyDescent="0.2">
      <c r="A1147" s="1" t="s">
        <v>361</v>
      </c>
      <c r="B1147" s="6" t="str">
        <f>"56276"</f>
        <v>56276</v>
      </c>
      <c r="C1147" s="1" t="s">
        <v>8</v>
      </c>
      <c r="D1147" s="1" t="s">
        <v>372</v>
      </c>
      <c r="E1147" s="6" t="str">
        <f>"009"</f>
        <v>009</v>
      </c>
      <c r="F1147" s="6">
        <v>2016</v>
      </c>
      <c r="G1147" s="7">
        <v>94722300</v>
      </c>
      <c r="H1147" s="7">
        <v>41585300</v>
      </c>
      <c r="I1147" s="7">
        <v>53137000</v>
      </c>
    </row>
    <row r="1148" spans="1:15" x14ac:dyDescent="0.2">
      <c r="A1148" s="1" t="s">
        <v>361</v>
      </c>
      <c r="B1148" s="6" t="str">
        <f>"56276"</f>
        <v>56276</v>
      </c>
      <c r="C1148" s="1" t="s">
        <v>8</v>
      </c>
      <c r="D1148" s="1" t="s">
        <v>372</v>
      </c>
      <c r="E1148" s="6" t="str">
        <f>"010"</f>
        <v>010</v>
      </c>
      <c r="F1148" s="6">
        <v>2021</v>
      </c>
      <c r="G1148" s="7">
        <v>8705100</v>
      </c>
      <c r="H1148" s="7">
        <v>5749200</v>
      </c>
      <c r="I1148" s="7">
        <v>2955900</v>
      </c>
    </row>
    <row r="1149" spans="1:15" x14ac:dyDescent="0.2">
      <c r="A1149" s="1" t="s">
        <v>361</v>
      </c>
      <c r="B1149" s="6" t="str">
        <f>"56276"</f>
        <v>56276</v>
      </c>
      <c r="C1149" s="1" t="s">
        <v>8</v>
      </c>
      <c r="D1149" s="1" t="s">
        <v>372</v>
      </c>
      <c r="E1149" s="6" t="str">
        <f>"011"</f>
        <v>011</v>
      </c>
      <c r="F1149" s="6">
        <v>2023</v>
      </c>
      <c r="G1149" s="7">
        <v>36807700</v>
      </c>
      <c r="H1149" s="7">
        <v>30274400</v>
      </c>
      <c r="I1149" s="7">
        <v>6533300</v>
      </c>
    </row>
    <row r="1150" spans="1:15" x14ac:dyDescent="0.2">
      <c r="A1150" s="1" t="s">
        <v>361</v>
      </c>
      <c r="B1150" s="6" t="str">
        <f>"56291"</f>
        <v>56291</v>
      </c>
      <c r="C1150" s="1" t="s">
        <v>8</v>
      </c>
      <c r="D1150" s="1" t="s">
        <v>9</v>
      </c>
      <c r="E1150" s="6" t="str">
        <f>"002"</f>
        <v>002</v>
      </c>
      <c r="F1150" s="6">
        <v>2001</v>
      </c>
      <c r="G1150" s="7">
        <v>90413000</v>
      </c>
      <c r="H1150" s="7">
        <v>14138100</v>
      </c>
      <c r="I1150" s="7">
        <v>76274900</v>
      </c>
    </row>
    <row r="1151" spans="1:15" x14ac:dyDescent="0.2">
      <c r="A1151" s="1" t="s">
        <v>361</v>
      </c>
      <c r="B1151" s="6" t="str">
        <f>"56291"</f>
        <v>56291</v>
      </c>
      <c r="C1151" s="1" t="s">
        <v>8</v>
      </c>
      <c r="D1151" s="1" t="s">
        <v>9</v>
      </c>
      <c r="E1151" s="6" t="str">
        <f>"003"</f>
        <v>003</v>
      </c>
      <c r="F1151" s="6">
        <v>2005</v>
      </c>
      <c r="G1151" s="7">
        <v>6995500</v>
      </c>
      <c r="H1151" s="7">
        <v>1877200</v>
      </c>
      <c r="I1151" s="7">
        <v>5118300</v>
      </c>
    </row>
    <row r="1152" spans="1:15" x14ac:dyDescent="0.2">
      <c r="A1152" s="1" t="s">
        <v>361</v>
      </c>
      <c r="B1152" s="6" t="str">
        <f>"56291"</f>
        <v>56291</v>
      </c>
      <c r="C1152" s="1" t="s">
        <v>8</v>
      </c>
      <c r="D1152" s="1" t="s">
        <v>9</v>
      </c>
      <c r="E1152" s="6" t="str">
        <f>"004"</f>
        <v>004</v>
      </c>
      <c r="F1152" s="6">
        <v>2006</v>
      </c>
      <c r="G1152" s="7">
        <v>5124100</v>
      </c>
      <c r="H1152" s="7">
        <v>1464100</v>
      </c>
      <c r="I1152" s="7">
        <v>3660000</v>
      </c>
    </row>
    <row r="1153" spans="1:10" x14ac:dyDescent="0.2">
      <c r="A1153" s="1" t="s">
        <v>373</v>
      </c>
      <c r="B1153" s="6" t="str">
        <f>"57236"</f>
        <v>57236</v>
      </c>
      <c r="C1153" s="1" t="s">
        <v>8</v>
      </c>
      <c r="D1153" s="1" t="s">
        <v>374</v>
      </c>
      <c r="E1153" s="6" t="str">
        <f>"005"</f>
        <v>005</v>
      </c>
      <c r="F1153" s="6">
        <v>2018</v>
      </c>
      <c r="G1153" s="7">
        <v>2376600</v>
      </c>
      <c r="H1153" s="7">
        <v>689200</v>
      </c>
      <c r="I1153" s="7">
        <v>1687400</v>
      </c>
    </row>
    <row r="1154" spans="1:10" x14ac:dyDescent="0.2">
      <c r="A1154" s="1" t="s">
        <v>373</v>
      </c>
      <c r="B1154" s="6" t="str">
        <f>"57236"</f>
        <v>57236</v>
      </c>
      <c r="C1154" s="1" t="s">
        <v>8</v>
      </c>
      <c r="D1154" s="1" t="s">
        <v>374</v>
      </c>
      <c r="E1154" s="6" t="str">
        <f>"006"</f>
        <v>006</v>
      </c>
      <c r="F1154" s="6">
        <v>2020</v>
      </c>
      <c r="G1154" s="7">
        <v>20806900</v>
      </c>
      <c r="H1154" s="7">
        <v>2976000</v>
      </c>
      <c r="I1154" s="7">
        <v>17830900</v>
      </c>
    </row>
    <row r="1155" spans="1:10" x14ac:dyDescent="0.2">
      <c r="A1155" s="1" t="s">
        <v>375</v>
      </c>
      <c r="B1155" s="6" t="str">
        <f>"58107"</f>
        <v>58107</v>
      </c>
      <c r="C1155" s="1" t="s">
        <v>12</v>
      </c>
      <c r="D1155" s="1" t="s">
        <v>376</v>
      </c>
      <c r="E1155" s="6" t="str">
        <f>"002"</f>
        <v>002</v>
      </c>
      <c r="F1155" s="6">
        <v>2024</v>
      </c>
      <c r="G1155" s="7">
        <v>7234000</v>
      </c>
      <c r="H1155" s="7">
        <v>5633300</v>
      </c>
      <c r="I1155" s="7">
        <v>1600700</v>
      </c>
    </row>
    <row r="1156" spans="1:10" x14ac:dyDescent="0.2">
      <c r="A1156" s="1" t="s">
        <v>375</v>
      </c>
      <c r="B1156" s="6" t="str">
        <f>"58107"</f>
        <v>58107</v>
      </c>
      <c r="C1156" s="1" t="s">
        <v>12</v>
      </c>
      <c r="D1156" s="1" t="s">
        <v>376</v>
      </c>
      <c r="E1156" s="6" t="str">
        <f>"003"</f>
        <v>003</v>
      </c>
      <c r="F1156" s="6">
        <v>2024</v>
      </c>
      <c r="G1156" s="7">
        <v>7439800</v>
      </c>
      <c r="H1156" s="7">
        <v>5802000</v>
      </c>
      <c r="I1156" s="7">
        <v>1637800</v>
      </c>
    </row>
    <row r="1157" spans="1:10" x14ac:dyDescent="0.2">
      <c r="A1157" s="1" t="s">
        <v>375</v>
      </c>
      <c r="B1157" s="6" t="str">
        <f>"58131"</f>
        <v>58131</v>
      </c>
      <c r="C1157" s="1" t="s">
        <v>12</v>
      </c>
      <c r="D1157" s="1" t="s">
        <v>377</v>
      </c>
      <c r="E1157" s="6" t="str">
        <f>"001"</f>
        <v>001</v>
      </c>
      <c r="F1157" s="6">
        <v>2011</v>
      </c>
      <c r="G1157" s="7">
        <v>1988300</v>
      </c>
      <c r="H1157" s="7">
        <v>1251500</v>
      </c>
      <c r="I1157" s="7">
        <v>736800</v>
      </c>
    </row>
    <row r="1158" spans="1:10" x14ac:dyDescent="0.2">
      <c r="A1158" s="1" t="s">
        <v>375</v>
      </c>
      <c r="B1158" s="6" t="str">
        <f>"58131"</f>
        <v>58131</v>
      </c>
      <c r="C1158" s="1" t="s">
        <v>12</v>
      </c>
      <c r="D1158" s="1" t="s">
        <v>377</v>
      </c>
      <c r="E1158" s="6" t="str">
        <f>"002"</f>
        <v>002</v>
      </c>
      <c r="F1158" s="6">
        <v>2015</v>
      </c>
      <c r="G1158" s="7">
        <v>6004700</v>
      </c>
      <c r="H1158" s="7">
        <v>2482000</v>
      </c>
      <c r="I1158" s="7">
        <v>3522700</v>
      </c>
    </row>
    <row r="1159" spans="1:10" x14ac:dyDescent="0.2">
      <c r="A1159" s="1" t="s">
        <v>375</v>
      </c>
      <c r="B1159" s="6" t="str">
        <f>"58151"</f>
        <v>58151</v>
      </c>
      <c r="C1159" s="1" t="s">
        <v>12</v>
      </c>
      <c r="D1159" s="1" t="s">
        <v>378</v>
      </c>
      <c r="E1159" s="6" t="str">
        <f>"001"</f>
        <v>001</v>
      </c>
      <c r="F1159" s="6">
        <v>2023</v>
      </c>
      <c r="G1159" s="7">
        <v>1102900</v>
      </c>
      <c r="H1159" s="7">
        <v>867200</v>
      </c>
      <c r="I1159" s="7">
        <v>235700</v>
      </c>
    </row>
    <row r="1160" spans="1:10" x14ac:dyDescent="0.2">
      <c r="A1160" s="1" t="s">
        <v>375</v>
      </c>
      <c r="B1160" s="6" t="str">
        <f>"58186"</f>
        <v>58186</v>
      </c>
      <c r="C1160" s="1" t="s">
        <v>12</v>
      </c>
      <c r="D1160" s="1" t="s">
        <v>379</v>
      </c>
      <c r="E1160" s="6" t="str">
        <f>"002"</f>
        <v>002</v>
      </c>
      <c r="F1160" s="6">
        <v>2014</v>
      </c>
      <c r="G1160" s="7">
        <v>1410200</v>
      </c>
      <c r="H1160" s="7">
        <v>637900</v>
      </c>
      <c r="I1160" s="7">
        <v>772300</v>
      </c>
    </row>
    <row r="1161" spans="1:10" x14ac:dyDescent="0.2">
      <c r="A1161" s="1" t="s">
        <v>375</v>
      </c>
      <c r="B1161" s="6" t="str">
        <f>"58191"</f>
        <v>58191</v>
      </c>
      <c r="C1161" s="1" t="s">
        <v>12</v>
      </c>
      <c r="D1161" s="1" t="s">
        <v>380</v>
      </c>
      <c r="E1161" s="6" t="str">
        <f>"002"</f>
        <v>002</v>
      </c>
      <c r="F1161" s="6">
        <v>2011</v>
      </c>
      <c r="G1161" s="8">
        <v>4039500</v>
      </c>
      <c r="H1161" s="8">
        <v>1407900</v>
      </c>
      <c r="I1161" s="8">
        <v>2631600</v>
      </c>
      <c r="J1161" s="12"/>
    </row>
    <row r="1162" spans="1:10" x14ac:dyDescent="0.2">
      <c r="A1162" s="1" t="s">
        <v>375</v>
      </c>
      <c r="B1162" s="6" t="str">
        <f>"58191"</f>
        <v>58191</v>
      </c>
      <c r="C1162" s="1" t="s">
        <v>12</v>
      </c>
      <c r="D1162" s="1" t="s">
        <v>380</v>
      </c>
      <c r="E1162" s="6" t="str">
        <f>"003"</f>
        <v>003</v>
      </c>
      <c r="F1162" s="6">
        <v>2015</v>
      </c>
      <c r="G1162" s="7">
        <v>5180100</v>
      </c>
      <c r="H1162" s="7">
        <v>3300</v>
      </c>
      <c r="I1162" s="7">
        <v>5176800</v>
      </c>
    </row>
    <row r="1163" spans="1:10" x14ac:dyDescent="0.2">
      <c r="A1163" s="1" t="s">
        <v>375</v>
      </c>
      <c r="B1163" s="6" t="str">
        <f>"58191"</f>
        <v>58191</v>
      </c>
      <c r="C1163" s="1" t="s">
        <v>12</v>
      </c>
      <c r="D1163" s="1" t="s">
        <v>380</v>
      </c>
      <c r="E1163" s="6" t="str">
        <f>"004"</f>
        <v>004</v>
      </c>
      <c r="F1163" s="6">
        <v>2024</v>
      </c>
      <c r="G1163" s="7">
        <v>763400</v>
      </c>
      <c r="H1163" s="7">
        <v>0</v>
      </c>
      <c r="I1163" s="7">
        <v>763400</v>
      </c>
    </row>
    <row r="1164" spans="1:10" x14ac:dyDescent="0.2">
      <c r="A1164" s="1" t="s">
        <v>375</v>
      </c>
      <c r="B1164" s="6" t="str">
        <f>"58281"</f>
        <v>58281</v>
      </c>
      <c r="C1164" s="1" t="s">
        <v>8</v>
      </c>
      <c r="D1164" s="1" t="s">
        <v>375</v>
      </c>
      <c r="E1164" s="6" t="str">
        <f>"004"</f>
        <v>004</v>
      </c>
      <c r="F1164" s="6">
        <v>2000</v>
      </c>
      <c r="G1164" s="7">
        <v>31661100</v>
      </c>
      <c r="H1164" s="7">
        <v>13105100</v>
      </c>
      <c r="I1164" s="7">
        <v>18556000</v>
      </c>
    </row>
    <row r="1165" spans="1:10" x14ac:dyDescent="0.2">
      <c r="A1165" s="1" t="s">
        <v>375</v>
      </c>
      <c r="B1165" s="6" t="str">
        <f>"58281"</f>
        <v>58281</v>
      </c>
      <c r="C1165" s="1" t="s">
        <v>8</v>
      </c>
      <c r="D1165" s="1" t="s">
        <v>375</v>
      </c>
      <c r="E1165" s="6" t="str">
        <f>"006"</f>
        <v>006</v>
      </c>
      <c r="F1165" s="6">
        <v>2014</v>
      </c>
      <c r="G1165" s="7">
        <v>52776100</v>
      </c>
      <c r="H1165" s="7">
        <v>34897300</v>
      </c>
      <c r="I1165" s="7">
        <v>17878800</v>
      </c>
    </row>
    <row r="1166" spans="1:10" x14ac:dyDescent="0.2">
      <c r="A1166" s="1" t="s">
        <v>375</v>
      </c>
      <c r="B1166" s="6" t="str">
        <f>"58281"</f>
        <v>58281</v>
      </c>
      <c r="C1166" s="1" t="s">
        <v>8</v>
      </c>
      <c r="D1166" s="1" t="s">
        <v>375</v>
      </c>
      <c r="E1166" s="6" t="str">
        <f>"007"</f>
        <v>007</v>
      </c>
      <c r="F1166" s="6">
        <v>2016</v>
      </c>
      <c r="G1166" s="7">
        <v>86140700</v>
      </c>
      <c r="H1166" s="7">
        <v>6988200</v>
      </c>
      <c r="I1166" s="7">
        <v>79152500</v>
      </c>
    </row>
    <row r="1167" spans="1:10" x14ac:dyDescent="0.2">
      <c r="A1167" s="1" t="s">
        <v>375</v>
      </c>
      <c r="B1167" s="6" t="str">
        <f>"58281"</f>
        <v>58281</v>
      </c>
      <c r="C1167" s="1" t="s">
        <v>8</v>
      </c>
      <c r="D1167" s="1" t="s">
        <v>375</v>
      </c>
      <c r="E1167" s="6" t="str">
        <f>"008"</f>
        <v>008</v>
      </c>
      <c r="F1167" s="6">
        <v>2018</v>
      </c>
      <c r="G1167" s="7">
        <v>7570100</v>
      </c>
      <c r="H1167" s="7">
        <v>215900</v>
      </c>
      <c r="I1167" s="7">
        <v>7354200</v>
      </c>
    </row>
    <row r="1168" spans="1:10" x14ac:dyDescent="0.2">
      <c r="A1168" s="1" t="s">
        <v>375</v>
      </c>
      <c r="B1168" s="6" t="str">
        <f>"58281"</f>
        <v>58281</v>
      </c>
      <c r="C1168" s="1" t="s">
        <v>8</v>
      </c>
      <c r="D1168" s="1" t="s">
        <v>375</v>
      </c>
      <c r="E1168" s="6" t="str">
        <f>"009"</f>
        <v>009</v>
      </c>
      <c r="F1168" s="6">
        <v>2022</v>
      </c>
      <c r="G1168" s="7">
        <v>20290100</v>
      </c>
      <c r="H1168" s="7">
        <v>17842300</v>
      </c>
      <c r="I1168" s="7">
        <v>2447800</v>
      </c>
    </row>
    <row r="1169" spans="1:14" x14ac:dyDescent="0.2">
      <c r="A1169" s="1" t="s">
        <v>381</v>
      </c>
      <c r="B1169" s="6" t="str">
        <f>"59024"</f>
        <v>59024</v>
      </c>
      <c r="C1169" s="1" t="s">
        <v>6</v>
      </c>
      <c r="D1169" s="1" t="s">
        <v>381</v>
      </c>
      <c r="E1169" s="6" t="str">
        <f>"001A"</f>
        <v>001A</v>
      </c>
      <c r="F1169" s="6">
        <v>2020</v>
      </c>
      <c r="G1169" s="7">
        <v>102353400</v>
      </c>
      <c r="H1169" s="7">
        <v>26593100</v>
      </c>
      <c r="I1169" s="7">
        <v>75760300</v>
      </c>
    </row>
    <row r="1170" spans="1:14" x14ac:dyDescent="0.2">
      <c r="A1170" s="1" t="s">
        <v>381</v>
      </c>
      <c r="B1170" s="6" t="str">
        <f>"59111"</f>
        <v>59111</v>
      </c>
      <c r="C1170" s="1" t="s">
        <v>12</v>
      </c>
      <c r="D1170" s="1" t="s">
        <v>382</v>
      </c>
      <c r="E1170" s="6" t="str">
        <f>"001"</f>
        <v>001</v>
      </c>
      <c r="F1170" s="6">
        <v>2011</v>
      </c>
      <c r="G1170" s="7">
        <v>1666500</v>
      </c>
      <c r="H1170" s="7">
        <v>577000</v>
      </c>
      <c r="I1170" s="7">
        <v>1089500</v>
      </c>
    </row>
    <row r="1171" spans="1:14" x14ac:dyDescent="0.2">
      <c r="A1171" s="1" t="s">
        <v>381</v>
      </c>
      <c r="B1171" s="6" t="str">
        <f>"59112"</f>
        <v>59112</v>
      </c>
      <c r="C1171" s="1" t="s">
        <v>12</v>
      </c>
      <c r="D1171" s="1" t="s">
        <v>383</v>
      </c>
      <c r="E1171" s="6" t="str">
        <f>"001"</f>
        <v>001</v>
      </c>
      <c r="F1171" s="6">
        <v>2009</v>
      </c>
      <c r="G1171" s="7">
        <v>165600</v>
      </c>
      <c r="H1171" s="7">
        <v>221500</v>
      </c>
      <c r="I1171" s="7">
        <v>-55900</v>
      </c>
    </row>
    <row r="1172" spans="1:14" x14ac:dyDescent="0.2">
      <c r="A1172" s="1" t="s">
        <v>381</v>
      </c>
      <c r="B1172" s="6" t="str">
        <f>"59112"</f>
        <v>59112</v>
      </c>
      <c r="C1172" s="1" t="s">
        <v>12</v>
      </c>
      <c r="D1172" s="1" t="s">
        <v>383</v>
      </c>
      <c r="E1172" s="6" t="str">
        <f>"003"</f>
        <v>003</v>
      </c>
      <c r="F1172" s="6">
        <v>2023</v>
      </c>
      <c r="G1172" s="7">
        <v>16928800</v>
      </c>
      <c r="H1172" s="7">
        <v>16534200</v>
      </c>
      <c r="I1172" s="7">
        <v>394600</v>
      </c>
    </row>
    <row r="1173" spans="1:14" x14ac:dyDescent="0.2">
      <c r="A1173" s="1" t="s">
        <v>381</v>
      </c>
      <c r="B1173" s="6" t="str">
        <f>"59121"</f>
        <v>59121</v>
      </c>
      <c r="C1173" s="1" t="s">
        <v>12</v>
      </c>
      <c r="D1173" s="1" t="s">
        <v>384</v>
      </c>
      <c r="E1173" s="6" t="str">
        <f>"002"</f>
        <v>002</v>
      </c>
      <c r="F1173" s="6">
        <v>2013</v>
      </c>
      <c r="G1173" s="7">
        <v>67338500</v>
      </c>
      <c r="H1173" s="7">
        <v>10561600</v>
      </c>
      <c r="I1173" s="7">
        <v>56776900</v>
      </c>
    </row>
    <row r="1174" spans="1:14" x14ac:dyDescent="0.2">
      <c r="A1174" s="1" t="s">
        <v>381</v>
      </c>
      <c r="B1174" s="6" t="str">
        <f>"59121"</f>
        <v>59121</v>
      </c>
      <c r="C1174" s="1" t="s">
        <v>12</v>
      </c>
      <c r="D1174" s="1" t="s">
        <v>384</v>
      </c>
      <c r="E1174" s="6" t="str">
        <f>"003"</f>
        <v>003</v>
      </c>
      <c r="F1174" s="6">
        <v>2013</v>
      </c>
      <c r="G1174" s="7">
        <v>11077700</v>
      </c>
      <c r="H1174" s="7">
        <v>1699300</v>
      </c>
      <c r="I1174" s="7">
        <v>9378400</v>
      </c>
    </row>
    <row r="1175" spans="1:14" x14ac:dyDescent="0.2">
      <c r="A1175" s="1" t="s">
        <v>381</v>
      </c>
      <c r="B1175" s="6" t="str">
        <f>"59121"</f>
        <v>59121</v>
      </c>
      <c r="C1175" s="1" t="s">
        <v>12</v>
      </c>
      <c r="D1175" s="1" t="s">
        <v>384</v>
      </c>
      <c r="E1175" s="6" t="str">
        <f>"004"</f>
        <v>004</v>
      </c>
      <c r="F1175" s="6">
        <v>2015</v>
      </c>
      <c r="G1175" s="7">
        <v>58507900</v>
      </c>
      <c r="H1175" s="7">
        <v>6219600</v>
      </c>
      <c r="I1175" s="7">
        <v>52288300</v>
      </c>
    </row>
    <row r="1176" spans="1:14" x14ac:dyDescent="0.2">
      <c r="A1176" s="1" t="s">
        <v>381</v>
      </c>
      <c r="B1176" s="6" t="str">
        <f>"59131"</f>
        <v>59131</v>
      </c>
      <c r="C1176" s="1" t="s">
        <v>12</v>
      </c>
      <c r="D1176" s="1" t="s">
        <v>385</v>
      </c>
      <c r="E1176" s="6" t="str">
        <f>"001"</f>
        <v>001</v>
      </c>
      <c r="F1176" s="6">
        <v>2005</v>
      </c>
      <c r="G1176" s="7">
        <v>5641400</v>
      </c>
      <c r="H1176" s="7">
        <v>1862900</v>
      </c>
      <c r="I1176" s="7">
        <v>3778500</v>
      </c>
    </row>
    <row r="1177" spans="1:14" x14ac:dyDescent="0.2">
      <c r="A1177" s="1" t="s">
        <v>381</v>
      </c>
      <c r="B1177" s="6" t="str">
        <f>"59165"</f>
        <v>59165</v>
      </c>
      <c r="C1177" s="1" t="s">
        <v>12</v>
      </c>
      <c r="D1177" s="1" t="s">
        <v>386</v>
      </c>
      <c r="E1177" s="6" t="str">
        <f>"002"</f>
        <v>002</v>
      </c>
      <c r="F1177" s="6">
        <v>2001</v>
      </c>
      <c r="G1177" s="7">
        <v>22718800</v>
      </c>
      <c r="H1177" s="7">
        <v>5477800</v>
      </c>
      <c r="I1177" s="7">
        <v>17241000</v>
      </c>
    </row>
    <row r="1178" spans="1:14" x14ac:dyDescent="0.2">
      <c r="A1178" s="1" t="s">
        <v>381</v>
      </c>
      <c r="B1178" s="6" t="str">
        <f>"59165"</f>
        <v>59165</v>
      </c>
      <c r="C1178" s="1" t="s">
        <v>12</v>
      </c>
      <c r="D1178" s="1" t="s">
        <v>386</v>
      </c>
      <c r="E1178" s="6" t="str">
        <f>"003"</f>
        <v>003</v>
      </c>
      <c r="F1178" s="6">
        <v>2017</v>
      </c>
      <c r="G1178" s="9">
        <v>27626600</v>
      </c>
      <c r="H1178" s="8">
        <v>708100</v>
      </c>
      <c r="I1178" s="8">
        <v>26918500</v>
      </c>
      <c r="J1178" s="14"/>
      <c r="L1178" s="11"/>
      <c r="N1178" s="8"/>
    </row>
    <row r="1179" spans="1:14" x14ac:dyDescent="0.2">
      <c r="A1179" s="1" t="s">
        <v>381</v>
      </c>
      <c r="B1179" s="6" t="str">
        <f>"59176"</f>
        <v>59176</v>
      </c>
      <c r="C1179" s="1" t="s">
        <v>12</v>
      </c>
      <c r="D1179" s="1" t="s">
        <v>387</v>
      </c>
      <c r="E1179" s="6" t="str">
        <f>"003"</f>
        <v>003</v>
      </c>
      <c r="F1179" s="6">
        <v>2014</v>
      </c>
      <c r="G1179" s="7">
        <v>4076000</v>
      </c>
      <c r="H1179" s="7">
        <v>1268200</v>
      </c>
      <c r="I1179" s="7">
        <v>2807800</v>
      </c>
      <c r="L1179" s="11"/>
      <c r="N1179" s="7"/>
    </row>
    <row r="1180" spans="1:14" x14ac:dyDescent="0.2">
      <c r="A1180" s="1" t="s">
        <v>381</v>
      </c>
      <c r="B1180" s="6" t="str">
        <f>"59176"</f>
        <v>59176</v>
      </c>
      <c r="C1180" s="1" t="s">
        <v>12</v>
      </c>
      <c r="D1180" s="1" t="s">
        <v>387</v>
      </c>
      <c r="E1180" s="6" t="str">
        <f>"004"</f>
        <v>004</v>
      </c>
      <c r="F1180" s="6">
        <v>2021</v>
      </c>
      <c r="G1180" s="7">
        <v>21391200</v>
      </c>
      <c r="H1180" s="7">
        <v>8807900</v>
      </c>
      <c r="I1180" s="7">
        <v>12583300</v>
      </c>
      <c r="L1180" s="11"/>
      <c r="N1180" s="11"/>
    </row>
    <row r="1181" spans="1:14" x14ac:dyDescent="0.2">
      <c r="A1181" s="1" t="s">
        <v>381</v>
      </c>
      <c r="B1181" s="6" t="str">
        <f>"59271"</f>
        <v>59271</v>
      </c>
      <c r="C1181" s="1" t="s">
        <v>8</v>
      </c>
      <c r="D1181" s="1" t="s">
        <v>388</v>
      </c>
      <c r="E1181" s="6" t="str">
        <f>"005"</f>
        <v>005</v>
      </c>
      <c r="F1181" s="6">
        <v>2008</v>
      </c>
      <c r="G1181" s="7">
        <v>41263300</v>
      </c>
      <c r="H1181" s="7">
        <v>14967700</v>
      </c>
      <c r="I1181" s="7">
        <v>26295600</v>
      </c>
      <c r="L1181" s="11"/>
    </row>
    <row r="1182" spans="1:14" x14ac:dyDescent="0.2">
      <c r="A1182" s="1" t="s">
        <v>381</v>
      </c>
      <c r="B1182" s="6" t="str">
        <f>"59271"</f>
        <v>59271</v>
      </c>
      <c r="C1182" s="1" t="s">
        <v>8</v>
      </c>
      <c r="D1182" s="1" t="s">
        <v>388</v>
      </c>
      <c r="E1182" s="6" t="str">
        <f>"006"</f>
        <v>006</v>
      </c>
      <c r="F1182" s="6">
        <v>2011</v>
      </c>
      <c r="G1182" s="7">
        <v>7643400</v>
      </c>
      <c r="H1182" s="7">
        <v>42600</v>
      </c>
      <c r="I1182" s="7">
        <v>7600800</v>
      </c>
      <c r="L1182" s="11"/>
    </row>
    <row r="1183" spans="1:14" x14ac:dyDescent="0.2">
      <c r="A1183" s="1" t="s">
        <v>381</v>
      </c>
      <c r="B1183" s="6" t="str">
        <f>"59271"</f>
        <v>59271</v>
      </c>
      <c r="C1183" s="1" t="s">
        <v>8</v>
      </c>
      <c r="D1183" s="1" t="s">
        <v>388</v>
      </c>
      <c r="E1183" s="6" t="str">
        <f>"007"</f>
        <v>007</v>
      </c>
      <c r="F1183" s="6">
        <v>2024</v>
      </c>
      <c r="G1183" s="7">
        <v>24508200</v>
      </c>
      <c r="H1183" s="7">
        <v>22156500</v>
      </c>
      <c r="I1183" s="7">
        <v>2351700</v>
      </c>
    </row>
    <row r="1184" spans="1:14" x14ac:dyDescent="0.2">
      <c r="A1184" s="1" t="s">
        <v>381</v>
      </c>
      <c r="B1184" s="6" t="str">
        <f t="shared" ref="B1184:B1192" si="49">"59281"</f>
        <v>59281</v>
      </c>
      <c r="C1184" s="1" t="s">
        <v>8</v>
      </c>
      <c r="D1184" s="1" t="s">
        <v>381</v>
      </c>
      <c r="E1184" s="6" t="str">
        <f>"016"</f>
        <v>016</v>
      </c>
      <c r="F1184" s="6">
        <v>2015</v>
      </c>
      <c r="G1184" s="7">
        <v>54107600</v>
      </c>
      <c r="H1184" s="7">
        <v>21740700</v>
      </c>
      <c r="I1184" s="7">
        <v>32366900</v>
      </c>
    </row>
    <row r="1185" spans="1:9" x14ac:dyDescent="0.2">
      <c r="A1185" s="1" t="s">
        <v>381</v>
      </c>
      <c r="B1185" s="6" t="str">
        <f t="shared" si="49"/>
        <v>59281</v>
      </c>
      <c r="C1185" s="1" t="s">
        <v>8</v>
      </c>
      <c r="D1185" s="1" t="s">
        <v>381</v>
      </c>
      <c r="E1185" s="6" t="str">
        <f>"017"</f>
        <v>017</v>
      </c>
      <c r="F1185" s="6">
        <v>2018</v>
      </c>
      <c r="G1185" s="7">
        <v>81757900</v>
      </c>
      <c r="H1185" s="7">
        <v>32701500</v>
      </c>
      <c r="I1185" s="7">
        <v>49056400</v>
      </c>
    </row>
    <row r="1186" spans="1:9" x14ac:dyDescent="0.2">
      <c r="A1186" s="1" t="s">
        <v>381</v>
      </c>
      <c r="B1186" s="6" t="str">
        <f t="shared" si="49"/>
        <v>59281</v>
      </c>
      <c r="C1186" s="1" t="s">
        <v>8</v>
      </c>
      <c r="D1186" s="1" t="s">
        <v>381</v>
      </c>
      <c r="E1186" s="6" t="str">
        <f>"018"</f>
        <v>018</v>
      </c>
      <c r="F1186" s="6">
        <v>2018</v>
      </c>
      <c r="G1186" s="7">
        <v>66655200</v>
      </c>
      <c r="H1186" s="7">
        <v>27053400</v>
      </c>
      <c r="I1186" s="7">
        <v>39601800</v>
      </c>
    </row>
    <row r="1187" spans="1:9" x14ac:dyDescent="0.2">
      <c r="A1187" s="1" t="s">
        <v>381</v>
      </c>
      <c r="B1187" s="6" t="str">
        <f t="shared" si="49"/>
        <v>59281</v>
      </c>
      <c r="C1187" s="1" t="s">
        <v>8</v>
      </c>
      <c r="D1187" s="1" t="s">
        <v>381</v>
      </c>
      <c r="E1187" s="6" t="str">
        <f>"019"</f>
        <v>019</v>
      </c>
      <c r="F1187" s="6">
        <v>2018</v>
      </c>
      <c r="G1187" s="7">
        <v>11174700</v>
      </c>
      <c r="H1187" s="7">
        <v>3364600</v>
      </c>
      <c r="I1187" s="7">
        <v>7810100</v>
      </c>
    </row>
    <row r="1188" spans="1:9" x14ac:dyDescent="0.2">
      <c r="A1188" s="1" t="s">
        <v>381</v>
      </c>
      <c r="B1188" s="6" t="str">
        <f t="shared" si="49"/>
        <v>59281</v>
      </c>
      <c r="C1188" s="1" t="s">
        <v>8</v>
      </c>
      <c r="D1188" s="1" t="s">
        <v>381</v>
      </c>
      <c r="E1188" s="6" t="str">
        <f>"020"</f>
        <v>020</v>
      </c>
      <c r="F1188" s="6">
        <v>2020</v>
      </c>
      <c r="G1188" s="7">
        <v>44722400</v>
      </c>
      <c r="H1188" s="7">
        <v>1354900</v>
      </c>
      <c r="I1188" s="7">
        <v>43367500</v>
      </c>
    </row>
    <row r="1189" spans="1:9" x14ac:dyDescent="0.2">
      <c r="A1189" s="1" t="s">
        <v>381</v>
      </c>
      <c r="B1189" s="6" t="str">
        <f t="shared" si="49"/>
        <v>59281</v>
      </c>
      <c r="C1189" s="1" t="s">
        <v>8</v>
      </c>
      <c r="D1189" s="1" t="s">
        <v>381</v>
      </c>
      <c r="E1189" s="6" t="str">
        <f>"021"</f>
        <v>021</v>
      </c>
      <c r="F1189" s="6">
        <v>2024</v>
      </c>
      <c r="G1189" s="7">
        <v>261830100</v>
      </c>
      <c r="H1189" s="7">
        <v>255644000</v>
      </c>
      <c r="I1189" s="7">
        <v>6186100</v>
      </c>
    </row>
    <row r="1190" spans="1:9" x14ac:dyDescent="0.2">
      <c r="A1190" s="1" t="s">
        <v>381</v>
      </c>
      <c r="B1190" s="6" t="str">
        <f t="shared" si="49"/>
        <v>59281</v>
      </c>
      <c r="C1190" s="1" t="s">
        <v>8</v>
      </c>
      <c r="D1190" s="1" t="s">
        <v>381</v>
      </c>
      <c r="E1190" s="6" t="str">
        <f>"022"</f>
        <v>022</v>
      </c>
      <c r="F1190" s="6">
        <v>2024</v>
      </c>
      <c r="G1190" s="7">
        <v>154505000</v>
      </c>
      <c r="H1190" s="7">
        <v>149156100</v>
      </c>
      <c r="I1190" s="7">
        <v>5348900</v>
      </c>
    </row>
    <row r="1191" spans="1:9" x14ac:dyDescent="0.2">
      <c r="A1191" s="1" t="s">
        <v>381</v>
      </c>
      <c r="B1191" s="6" t="str">
        <f t="shared" si="49"/>
        <v>59281</v>
      </c>
      <c r="C1191" s="1" t="s">
        <v>8</v>
      </c>
      <c r="D1191" s="1" t="s">
        <v>381</v>
      </c>
      <c r="E1191" s="6" t="str">
        <f>"023"</f>
        <v>023</v>
      </c>
      <c r="F1191" s="6">
        <v>2024</v>
      </c>
      <c r="G1191" s="7">
        <v>17372200</v>
      </c>
      <c r="H1191" s="7">
        <v>12315000</v>
      </c>
      <c r="I1191" s="7">
        <v>5057200</v>
      </c>
    </row>
    <row r="1192" spans="1:9" x14ac:dyDescent="0.2">
      <c r="A1192" s="1" t="s">
        <v>381</v>
      </c>
      <c r="B1192" s="6" t="str">
        <f t="shared" si="49"/>
        <v>59281</v>
      </c>
      <c r="C1192" s="1" t="s">
        <v>8</v>
      </c>
      <c r="D1192" s="1" t="s">
        <v>381</v>
      </c>
      <c r="E1192" s="6" t="str">
        <f>"024"</f>
        <v>024</v>
      </c>
      <c r="F1192" s="6">
        <v>2024</v>
      </c>
      <c r="G1192" s="7">
        <v>0</v>
      </c>
      <c r="H1192" s="7">
        <v>0</v>
      </c>
      <c r="I1192" s="7">
        <v>0</v>
      </c>
    </row>
    <row r="1193" spans="1:9" x14ac:dyDescent="0.2">
      <c r="A1193" s="1" t="s">
        <v>381</v>
      </c>
      <c r="B1193" s="6" t="str">
        <f>"59282"</f>
        <v>59282</v>
      </c>
      <c r="C1193" s="1" t="s">
        <v>8</v>
      </c>
      <c r="D1193" s="1" t="s">
        <v>389</v>
      </c>
      <c r="E1193" s="6" t="str">
        <f>"004"</f>
        <v>004</v>
      </c>
      <c r="F1193" s="6">
        <v>2016</v>
      </c>
      <c r="G1193" s="7">
        <v>30464300</v>
      </c>
      <c r="H1193" s="7">
        <v>2510100</v>
      </c>
      <c r="I1193" s="7">
        <v>27954200</v>
      </c>
    </row>
    <row r="1194" spans="1:9" x14ac:dyDescent="0.2">
      <c r="A1194" s="1" t="s">
        <v>381</v>
      </c>
      <c r="B1194" s="6" t="str">
        <f>"59282"</f>
        <v>59282</v>
      </c>
      <c r="C1194" s="1" t="s">
        <v>8</v>
      </c>
      <c r="D1194" s="1" t="s">
        <v>389</v>
      </c>
      <c r="E1194" s="6" t="str">
        <f>"005"</f>
        <v>005</v>
      </c>
      <c r="F1194" s="6">
        <v>2018</v>
      </c>
      <c r="G1194" s="7">
        <v>37958500</v>
      </c>
      <c r="H1194" s="7">
        <v>10526000</v>
      </c>
      <c r="I1194" s="7">
        <v>27432500</v>
      </c>
    </row>
    <row r="1195" spans="1:9" x14ac:dyDescent="0.2">
      <c r="A1195" s="1" t="s">
        <v>381</v>
      </c>
      <c r="B1195" s="6" t="str">
        <f>"59282"</f>
        <v>59282</v>
      </c>
      <c r="C1195" s="1" t="s">
        <v>8</v>
      </c>
      <c r="D1195" s="1" t="s">
        <v>389</v>
      </c>
      <c r="E1195" s="6" t="str">
        <f>"006"</f>
        <v>006</v>
      </c>
      <c r="F1195" s="6">
        <v>2019</v>
      </c>
      <c r="G1195" s="7">
        <v>4520500</v>
      </c>
      <c r="H1195" s="7">
        <v>0</v>
      </c>
      <c r="I1195" s="7">
        <v>4520500</v>
      </c>
    </row>
    <row r="1196" spans="1:9" x14ac:dyDescent="0.2">
      <c r="A1196" s="1" t="s">
        <v>381</v>
      </c>
      <c r="B1196" s="6" t="str">
        <f>"59282"</f>
        <v>59282</v>
      </c>
      <c r="C1196" s="1" t="s">
        <v>8</v>
      </c>
      <c r="D1196" s="1" t="s">
        <v>389</v>
      </c>
      <c r="E1196" s="6" t="str">
        <f>"007"</f>
        <v>007</v>
      </c>
      <c r="F1196" s="6">
        <v>2019</v>
      </c>
      <c r="G1196" s="7">
        <v>10305900</v>
      </c>
      <c r="H1196" s="7">
        <v>319500</v>
      </c>
      <c r="I1196" s="7">
        <v>9986400</v>
      </c>
    </row>
    <row r="1197" spans="1:9" x14ac:dyDescent="0.2">
      <c r="A1197" s="1" t="s">
        <v>175</v>
      </c>
      <c r="B1197" s="6" t="str">
        <f>"60131"</f>
        <v>60131</v>
      </c>
      <c r="C1197" s="1" t="s">
        <v>12</v>
      </c>
      <c r="D1197" s="1" t="s">
        <v>390</v>
      </c>
      <c r="E1197" s="6" t="str">
        <f>"003"</f>
        <v>003</v>
      </c>
      <c r="F1197" s="6">
        <v>2023</v>
      </c>
      <c r="G1197" s="7">
        <v>3002000</v>
      </c>
      <c r="H1197" s="7">
        <v>3128600</v>
      </c>
      <c r="I1197" s="7">
        <v>-126600</v>
      </c>
    </row>
    <row r="1198" spans="1:9" x14ac:dyDescent="0.2">
      <c r="A1198" s="1" t="s">
        <v>175</v>
      </c>
      <c r="B1198" s="6" t="str">
        <f>"60181"</f>
        <v>60181</v>
      </c>
      <c r="C1198" s="1" t="s">
        <v>12</v>
      </c>
      <c r="D1198" s="1" t="s">
        <v>391</v>
      </c>
      <c r="E1198" s="6" t="str">
        <f>"001"</f>
        <v>001</v>
      </c>
      <c r="F1198" s="6">
        <v>2013</v>
      </c>
      <c r="G1198" s="7">
        <v>4319600</v>
      </c>
      <c r="H1198" s="7">
        <v>1003000</v>
      </c>
      <c r="I1198" s="7">
        <v>3316600</v>
      </c>
    </row>
    <row r="1199" spans="1:9" x14ac:dyDescent="0.2">
      <c r="A1199" s="1" t="s">
        <v>175</v>
      </c>
      <c r="B1199" s="6" t="str">
        <f>"60251"</f>
        <v>60251</v>
      </c>
      <c r="C1199" s="1" t="s">
        <v>8</v>
      </c>
      <c r="D1199" s="1" t="s">
        <v>392</v>
      </c>
      <c r="E1199" s="6" t="str">
        <f>"007"</f>
        <v>007</v>
      </c>
      <c r="F1199" s="6">
        <v>1997</v>
      </c>
      <c r="G1199" s="7">
        <v>3179300</v>
      </c>
      <c r="H1199" s="7">
        <v>1488900</v>
      </c>
      <c r="I1199" s="7">
        <v>1690400</v>
      </c>
    </row>
    <row r="1200" spans="1:9" x14ac:dyDescent="0.2">
      <c r="A1200" s="1" t="s">
        <v>175</v>
      </c>
      <c r="B1200" s="6" t="str">
        <f>"60251"</f>
        <v>60251</v>
      </c>
      <c r="C1200" s="1" t="s">
        <v>8</v>
      </c>
      <c r="D1200" s="1" t="s">
        <v>392</v>
      </c>
      <c r="E1200" s="6" t="str">
        <f>"010"</f>
        <v>010</v>
      </c>
      <c r="F1200" s="6">
        <v>1999</v>
      </c>
      <c r="G1200" s="7">
        <v>2576700</v>
      </c>
      <c r="H1200" s="7">
        <v>240200</v>
      </c>
      <c r="I1200" s="7">
        <v>2336500</v>
      </c>
    </row>
    <row r="1201" spans="1:12" x14ac:dyDescent="0.2">
      <c r="A1201" s="1" t="s">
        <v>175</v>
      </c>
      <c r="B1201" s="6" t="str">
        <f>"60251"</f>
        <v>60251</v>
      </c>
      <c r="C1201" s="1" t="s">
        <v>8</v>
      </c>
      <c r="D1201" s="1" t="s">
        <v>392</v>
      </c>
      <c r="E1201" s="6" t="str">
        <f>"013"</f>
        <v>013</v>
      </c>
      <c r="F1201" s="6">
        <v>2005</v>
      </c>
      <c r="G1201" s="7">
        <v>17380800</v>
      </c>
      <c r="H1201" s="7">
        <v>3382000</v>
      </c>
      <c r="I1201" s="7">
        <v>13998800</v>
      </c>
    </row>
    <row r="1202" spans="1:12" x14ac:dyDescent="0.2">
      <c r="A1202" s="1" t="s">
        <v>175</v>
      </c>
      <c r="B1202" s="6" t="str">
        <f>"60251"</f>
        <v>60251</v>
      </c>
      <c r="C1202" s="1" t="s">
        <v>8</v>
      </c>
      <c r="D1202" s="1" t="s">
        <v>392</v>
      </c>
      <c r="E1202" s="6" t="str">
        <f>"014"</f>
        <v>014</v>
      </c>
      <c r="F1202" s="6">
        <v>2022</v>
      </c>
      <c r="G1202" s="7">
        <v>21780600</v>
      </c>
      <c r="H1202" s="7">
        <v>15039500</v>
      </c>
      <c r="I1202" s="7">
        <v>6741100</v>
      </c>
    </row>
    <row r="1203" spans="1:12" x14ac:dyDescent="0.2">
      <c r="A1203" s="1" t="s">
        <v>393</v>
      </c>
      <c r="B1203" s="6" t="str">
        <f>"61181"</f>
        <v>61181</v>
      </c>
      <c r="C1203" s="1" t="s">
        <v>12</v>
      </c>
      <c r="D1203" s="1" t="s">
        <v>394</v>
      </c>
      <c r="E1203" s="6" t="str">
        <f>"001"</f>
        <v>001</v>
      </c>
      <c r="F1203" s="6">
        <v>2009</v>
      </c>
      <c r="G1203" s="7">
        <v>100</v>
      </c>
      <c r="H1203" s="7">
        <v>5600</v>
      </c>
      <c r="I1203" s="7">
        <v>-5500</v>
      </c>
    </row>
    <row r="1204" spans="1:12" x14ac:dyDescent="0.2">
      <c r="A1204" s="1" t="s">
        <v>393</v>
      </c>
      <c r="B1204" s="6" t="str">
        <f>"61186"</f>
        <v>61186</v>
      </c>
      <c r="C1204" s="1" t="s">
        <v>12</v>
      </c>
      <c r="D1204" s="1" t="s">
        <v>393</v>
      </c>
      <c r="E1204" s="6" t="str">
        <f>"002"</f>
        <v>002</v>
      </c>
      <c r="F1204" s="6">
        <v>2022</v>
      </c>
      <c r="G1204" s="7">
        <v>13082800</v>
      </c>
      <c r="H1204" s="7">
        <v>9150600</v>
      </c>
      <c r="I1204" s="7">
        <v>3932200</v>
      </c>
      <c r="K1204" s="11"/>
    </row>
    <row r="1205" spans="1:12" x14ac:dyDescent="0.2">
      <c r="A1205" s="1" t="s">
        <v>393</v>
      </c>
      <c r="B1205" s="6" t="str">
        <f>"61201"</f>
        <v>61201</v>
      </c>
      <c r="C1205" s="1" t="s">
        <v>8</v>
      </c>
      <c r="D1205" s="1" t="s">
        <v>395</v>
      </c>
      <c r="E1205" s="6" t="str">
        <f>"003"</f>
        <v>003</v>
      </c>
      <c r="F1205" s="6">
        <v>1994</v>
      </c>
      <c r="G1205" s="7">
        <v>11548700</v>
      </c>
      <c r="H1205" s="7">
        <v>180100</v>
      </c>
      <c r="I1205" s="7">
        <v>11368600</v>
      </c>
    </row>
    <row r="1206" spans="1:12" x14ac:dyDescent="0.2">
      <c r="A1206" s="1" t="s">
        <v>393</v>
      </c>
      <c r="B1206" s="6" t="str">
        <f>"61206"</f>
        <v>61206</v>
      </c>
      <c r="C1206" s="1" t="s">
        <v>8</v>
      </c>
      <c r="D1206" s="1" t="s">
        <v>396</v>
      </c>
      <c r="E1206" s="6" t="str">
        <f>"004"</f>
        <v>004</v>
      </c>
      <c r="F1206" s="6">
        <v>2007</v>
      </c>
      <c r="G1206" s="7">
        <v>2550100</v>
      </c>
      <c r="H1206" s="7">
        <v>17900</v>
      </c>
      <c r="I1206" s="7">
        <v>2532200</v>
      </c>
    </row>
    <row r="1207" spans="1:12" x14ac:dyDescent="0.2">
      <c r="A1207" s="1" t="s">
        <v>393</v>
      </c>
      <c r="B1207" s="6" t="str">
        <f>"61206"</f>
        <v>61206</v>
      </c>
      <c r="C1207" s="1" t="s">
        <v>8</v>
      </c>
      <c r="D1207" s="1" t="s">
        <v>396</v>
      </c>
      <c r="E1207" s="6" t="str">
        <f>"005"</f>
        <v>005</v>
      </c>
      <c r="F1207" s="6">
        <v>2008</v>
      </c>
      <c r="G1207" s="7">
        <v>2052000</v>
      </c>
      <c r="H1207" s="7">
        <v>54100</v>
      </c>
      <c r="I1207" s="7">
        <v>1997900</v>
      </c>
    </row>
    <row r="1208" spans="1:12" x14ac:dyDescent="0.2">
      <c r="A1208" s="1" t="s">
        <v>393</v>
      </c>
      <c r="B1208" s="6" t="str">
        <f>"61206"</f>
        <v>61206</v>
      </c>
      <c r="C1208" s="1" t="s">
        <v>8</v>
      </c>
      <c r="D1208" s="1" t="s">
        <v>396</v>
      </c>
      <c r="E1208" s="6" t="str">
        <f>"006"</f>
        <v>006</v>
      </c>
      <c r="F1208" s="6">
        <v>2015</v>
      </c>
      <c r="G1208" s="7">
        <v>8759400</v>
      </c>
      <c r="H1208" s="7">
        <v>5467000</v>
      </c>
      <c r="I1208" s="7">
        <v>3292400</v>
      </c>
      <c r="L1208" s="11"/>
    </row>
    <row r="1209" spans="1:12" x14ac:dyDescent="0.2">
      <c r="A1209" s="1" t="s">
        <v>393</v>
      </c>
      <c r="B1209" s="6" t="str">
        <f>"61206"</f>
        <v>61206</v>
      </c>
      <c r="C1209" s="1" t="s">
        <v>8</v>
      </c>
      <c r="D1209" s="1" t="s">
        <v>396</v>
      </c>
      <c r="E1209" s="6" t="str">
        <f>"007"</f>
        <v>007</v>
      </c>
      <c r="F1209" s="6">
        <v>2015</v>
      </c>
      <c r="G1209" s="7">
        <v>6755300</v>
      </c>
      <c r="H1209" s="7">
        <v>1664700</v>
      </c>
      <c r="I1209" s="7">
        <v>5090600</v>
      </c>
      <c r="L1209" s="7"/>
    </row>
    <row r="1210" spans="1:12" x14ac:dyDescent="0.2">
      <c r="A1210" s="1" t="s">
        <v>393</v>
      </c>
      <c r="B1210" s="6" t="str">
        <f>"61241"</f>
        <v>61241</v>
      </c>
      <c r="C1210" s="1" t="s">
        <v>8</v>
      </c>
      <c r="D1210" s="1" t="s">
        <v>397</v>
      </c>
      <c r="E1210" s="6" t="str">
        <f>"002"</f>
        <v>002</v>
      </c>
      <c r="F1210" s="6">
        <v>2006</v>
      </c>
      <c r="G1210" s="9">
        <v>8794200</v>
      </c>
      <c r="H1210" s="9">
        <v>2007200</v>
      </c>
      <c r="I1210" s="9">
        <v>6787000</v>
      </c>
      <c r="J1210" s="12"/>
      <c r="L1210" s="11"/>
    </row>
    <row r="1211" spans="1:12" x14ac:dyDescent="0.2">
      <c r="A1211" s="1" t="s">
        <v>393</v>
      </c>
      <c r="B1211" s="6" t="str">
        <f>"61241"</f>
        <v>61241</v>
      </c>
      <c r="C1211" s="1" t="s">
        <v>8</v>
      </c>
      <c r="D1211" s="1" t="s">
        <v>397</v>
      </c>
      <c r="E1211" s="6" t="str">
        <f>"003"</f>
        <v>003</v>
      </c>
      <c r="F1211" s="6">
        <v>2020</v>
      </c>
      <c r="G1211" s="8">
        <v>12653700</v>
      </c>
      <c r="H1211" s="8">
        <v>3783300</v>
      </c>
      <c r="I1211" s="8">
        <v>8870400</v>
      </c>
    </row>
    <row r="1212" spans="1:12" x14ac:dyDescent="0.2">
      <c r="A1212" s="1" t="s">
        <v>393</v>
      </c>
      <c r="B1212" s="6" t="str">
        <f>"61265"</f>
        <v>61265</v>
      </c>
      <c r="C1212" s="1" t="s">
        <v>8</v>
      </c>
      <c r="D1212" s="1" t="s">
        <v>398</v>
      </c>
      <c r="E1212" s="6" t="str">
        <f>"003"</f>
        <v>003</v>
      </c>
      <c r="F1212" s="6">
        <v>2009</v>
      </c>
      <c r="G1212" s="7">
        <v>3789100</v>
      </c>
      <c r="H1212" s="7">
        <v>2182500</v>
      </c>
      <c r="I1212" s="7">
        <v>1606600</v>
      </c>
    </row>
    <row r="1213" spans="1:12" x14ac:dyDescent="0.2">
      <c r="A1213" s="1" t="s">
        <v>393</v>
      </c>
      <c r="B1213" s="6" t="str">
        <f>"61265"</f>
        <v>61265</v>
      </c>
      <c r="C1213" s="1" t="s">
        <v>8</v>
      </c>
      <c r="D1213" s="1" t="s">
        <v>398</v>
      </c>
      <c r="E1213" s="6" t="str">
        <f>"004"</f>
        <v>004</v>
      </c>
      <c r="F1213" s="6">
        <v>2024</v>
      </c>
      <c r="G1213" s="7">
        <v>26384200</v>
      </c>
      <c r="H1213" s="7">
        <v>24384800</v>
      </c>
      <c r="I1213" s="7">
        <v>1999400</v>
      </c>
    </row>
    <row r="1214" spans="1:12" x14ac:dyDescent="0.2">
      <c r="A1214" s="1" t="s">
        <v>393</v>
      </c>
      <c r="B1214" s="6" t="str">
        <f>"61291"</f>
        <v>61291</v>
      </c>
      <c r="C1214" s="1" t="s">
        <v>8</v>
      </c>
      <c r="D1214" s="1" t="s">
        <v>399</v>
      </c>
      <c r="E1214" s="6" t="str">
        <f>"002"</f>
        <v>002</v>
      </c>
      <c r="F1214" s="6">
        <v>2006</v>
      </c>
      <c r="G1214" s="7">
        <v>6126200</v>
      </c>
      <c r="H1214" s="7">
        <v>989100</v>
      </c>
      <c r="I1214" s="7">
        <v>5137100</v>
      </c>
    </row>
    <row r="1215" spans="1:12" x14ac:dyDescent="0.2">
      <c r="A1215" s="1" t="s">
        <v>393</v>
      </c>
      <c r="B1215" s="6" t="str">
        <f>"61291"</f>
        <v>61291</v>
      </c>
      <c r="C1215" s="1" t="s">
        <v>8</v>
      </c>
      <c r="D1215" s="1" t="s">
        <v>399</v>
      </c>
      <c r="E1215" s="6" t="str">
        <f>"003"</f>
        <v>003</v>
      </c>
      <c r="F1215" s="6">
        <v>2006</v>
      </c>
      <c r="G1215" s="7">
        <v>17692900</v>
      </c>
      <c r="H1215" s="7">
        <v>7706000</v>
      </c>
      <c r="I1215" s="7">
        <v>9986900</v>
      </c>
    </row>
    <row r="1216" spans="1:12" x14ac:dyDescent="0.2">
      <c r="A1216" s="1" t="s">
        <v>400</v>
      </c>
      <c r="B1216" s="6" t="str">
        <f>"62146"</f>
        <v>62146</v>
      </c>
      <c r="C1216" s="1" t="s">
        <v>12</v>
      </c>
      <c r="D1216" s="1" t="s">
        <v>401</v>
      </c>
      <c r="E1216" s="6" t="str">
        <f>"001"</f>
        <v>001</v>
      </c>
      <c r="F1216" s="6">
        <v>2003</v>
      </c>
      <c r="G1216" s="7">
        <v>15380800</v>
      </c>
      <c r="H1216" s="7">
        <v>118300</v>
      </c>
      <c r="I1216" s="7">
        <v>15262500</v>
      </c>
    </row>
    <row r="1217" spans="1:9" x14ac:dyDescent="0.2">
      <c r="A1217" s="1" t="s">
        <v>400</v>
      </c>
      <c r="B1217" s="6" t="str">
        <f>"62165"</f>
        <v>62165</v>
      </c>
      <c r="C1217" s="1" t="s">
        <v>12</v>
      </c>
      <c r="D1217" s="1" t="s">
        <v>402</v>
      </c>
      <c r="E1217" s="6" t="str">
        <f>"002"</f>
        <v>002</v>
      </c>
      <c r="F1217" s="6">
        <v>2020</v>
      </c>
      <c r="G1217" s="7">
        <v>3970900</v>
      </c>
      <c r="H1217" s="7">
        <v>668000</v>
      </c>
      <c r="I1217" s="7">
        <v>3302900</v>
      </c>
    </row>
    <row r="1218" spans="1:9" x14ac:dyDescent="0.2">
      <c r="A1218" s="1" t="s">
        <v>400</v>
      </c>
      <c r="B1218" s="6" t="str">
        <f>"62186"</f>
        <v>62186</v>
      </c>
      <c r="C1218" s="1" t="s">
        <v>12</v>
      </c>
      <c r="D1218" s="1" t="s">
        <v>338</v>
      </c>
      <c r="E1218" s="6" t="str">
        <f>"004"</f>
        <v>004</v>
      </c>
      <c r="F1218" s="6">
        <v>2007</v>
      </c>
      <c r="G1218" s="7">
        <v>6940000</v>
      </c>
      <c r="H1218" s="7">
        <v>319500</v>
      </c>
      <c r="I1218" s="7">
        <v>6620500</v>
      </c>
    </row>
    <row r="1219" spans="1:9" x14ac:dyDescent="0.2">
      <c r="A1219" s="1" t="s">
        <v>400</v>
      </c>
      <c r="B1219" s="6" t="str">
        <f>"62186"</f>
        <v>62186</v>
      </c>
      <c r="C1219" s="1" t="s">
        <v>12</v>
      </c>
      <c r="D1219" s="1" t="s">
        <v>338</v>
      </c>
      <c r="E1219" s="6" t="str">
        <f>"005"</f>
        <v>005</v>
      </c>
      <c r="F1219" s="6">
        <v>2019</v>
      </c>
      <c r="G1219" s="7">
        <v>8148400</v>
      </c>
      <c r="H1219" s="7">
        <v>1059900</v>
      </c>
      <c r="I1219" s="7">
        <v>7088500</v>
      </c>
    </row>
    <row r="1220" spans="1:9" x14ac:dyDescent="0.2">
      <c r="A1220" s="1" t="s">
        <v>400</v>
      </c>
      <c r="B1220" s="6" t="str">
        <f>"62236"</f>
        <v>62236</v>
      </c>
      <c r="C1220" s="1" t="s">
        <v>8</v>
      </c>
      <c r="D1220" s="1" t="s">
        <v>403</v>
      </c>
      <c r="E1220" s="6" t="str">
        <f>"004"</f>
        <v>004</v>
      </c>
      <c r="F1220" s="6">
        <v>1998</v>
      </c>
      <c r="G1220" s="7">
        <v>15743700</v>
      </c>
      <c r="H1220" s="7">
        <v>973700</v>
      </c>
      <c r="I1220" s="7">
        <v>14770000</v>
      </c>
    </row>
    <row r="1221" spans="1:9" x14ac:dyDescent="0.2">
      <c r="A1221" s="1" t="s">
        <v>400</v>
      </c>
      <c r="B1221" s="6" t="str">
        <f>"62236"</f>
        <v>62236</v>
      </c>
      <c r="C1221" s="1" t="s">
        <v>8</v>
      </c>
      <c r="D1221" s="1" t="s">
        <v>403</v>
      </c>
      <c r="E1221" s="6" t="str">
        <f>"005"</f>
        <v>005</v>
      </c>
      <c r="F1221" s="6">
        <v>2024</v>
      </c>
      <c r="G1221" s="7">
        <v>3021000</v>
      </c>
      <c r="H1221" s="7">
        <v>2420800</v>
      </c>
      <c r="I1221" s="7">
        <v>600200</v>
      </c>
    </row>
    <row r="1222" spans="1:9" x14ac:dyDescent="0.2">
      <c r="A1222" s="1" t="s">
        <v>400</v>
      </c>
      <c r="B1222" s="6" t="str">
        <f>"62286"</f>
        <v>62286</v>
      </c>
      <c r="C1222" s="1" t="s">
        <v>8</v>
      </c>
      <c r="D1222" s="1" t="s">
        <v>404</v>
      </c>
      <c r="E1222" s="6" t="str">
        <f>"004"</f>
        <v>004</v>
      </c>
      <c r="F1222" s="6">
        <v>1999</v>
      </c>
      <c r="G1222" s="7">
        <v>4224800</v>
      </c>
      <c r="H1222" s="7">
        <v>288800</v>
      </c>
      <c r="I1222" s="7">
        <v>3936000</v>
      </c>
    </row>
    <row r="1223" spans="1:9" x14ac:dyDescent="0.2">
      <c r="A1223" s="1" t="s">
        <v>400</v>
      </c>
      <c r="B1223" s="6" t="str">
        <f>"62286"</f>
        <v>62286</v>
      </c>
      <c r="C1223" s="1" t="s">
        <v>8</v>
      </c>
      <c r="D1223" s="1" t="s">
        <v>404</v>
      </c>
      <c r="E1223" s="6" t="str">
        <f>"005"</f>
        <v>005</v>
      </c>
      <c r="F1223" s="6">
        <v>2006</v>
      </c>
      <c r="G1223" s="7">
        <v>3146700</v>
      </c>
      <c r="H1223" s="7">
        <v>279600</v>
      </c>
      <c r="I1223" s="7">
        <v>2867100</v>
      </c>
    </row>
    <row r="1224" spans="1:9" x14ac:dyDescent="0.2">
      <c r="A1224" s="1" t="s">
        <v>400</v>
      </c>
      <c r="B1224" s="6" t="str">
        <f>"62286"</f>
        <v>62286</v>
      </c>
      <c r="C1224" s="1" t="s">
        <v>8</v>
      </c>
      <c r="D1224" s="1" t="s">
        <v>404</v>
      </c>
      <c r="E1224" s="6" t="str">
        <f>"006"</f>
        <v>006</v>
      </c>
      <c r="F1224" s="6">
        <v>2015</v>
      </c>
      <c r="G1224" s="7">
        <v>30069500</v>
      </c>
      <c r="H1224" s="7">
        <v>11722200</v>
      </c>
      <c r="I1224" s="7">
        <v>18347300</v>
      </c>
    </row>
    <row r="1225" spans="1:9" x14ac:dyDescent="0.2">
      <c r="A1225" s="1" t="s">
        <v>400</v>
      </c>
      <c r="B1225" s="6" t="str">
        <f>"62286"</f>
        <v>62286</v>
      </c>
      <c r="C1225" s="1" t="s">
        <v>8</v>
      </c>
      <c r="D1225" s="1" t="s">
        <v>404</v>
      </c>
      <c r="E1225" s="6" t="str">
        <f>"007"</f>
        <v>007</v>
      </c>
      <c r="F1225" s="6">
        <v>2019</v>
      </c>
      <c r="G1225" s="7">
        <v>22028800</v>
      </c>
      <c r="H1225" s="7">
        <v>9170900</v>
      </c>
      <c r="I1225" s="7">
        <v>12857900</v>
      </c>
    </row>
    <row r="1226" spans="1:9" x14ac:dyDescent="0.2">
      <c r="A1226" s="1" t="s">
        <v>400</v>
      </c>
      <c r="B1226" s="6" t="str">
        <f>"62291"</f>
        <v>62291</v>
      </c>
      <c r="C1226" s="1" t="s">
        <v>8</v>
      </c>
      <c r="D1226" s="1" t="s">
        <v>405</v>
      </c>
      <c r="E1226" s="6" t="str">
        <f>"002"</f>
        <v>002</v>
      </c>
      <c r="F1226" s="6">
        <v>2007</v>
      </c>
      <c r="G1226" s="7">
        <v>32895200</v>
      </c>
      <c r="H1226" s="7">
        <v>6023900</v>
      </c>
      <c r="I1226" s="7">
        <v>26871300</v>
      </c>
    </row>
    <row r="1227" spans="1:9" x14ac:dyDescent="0.2">
      <c r="A1227" s="1" t="s">
        <v>400</v>
      </c>
      <c r="B1227" s="6" t="str">
        <f>"62291"</f>
        <v>62291</v>
      </c>
      <c r="C1227" s="1" t="s">
        <v>8</v>
      </c>
      <c r="D1227" s="1" t="s">
        <v>405</v>
      </c>
      <c r="E1227" s="6" t="str">
        <f>"003"</f>
        <v>003</v>
      </c>
      <c r="F1227" s="6">
        <v>2008</v>
      </c>
      <c r="G1227" s="7">
        <v>26154900</v>
      </c>
      <c r="H1227" s="7">
        <v>6533200</v>
      </c>
      <c r="I1227" s="7">
        <v>19621700</v>
      </c>
    </row>
    <row r="1228" spans="1:9" x14ac:dyDescent="0.2">
      <c r="A1228" s="1" t="s">
        <v>406</v>
      </c>
      <c r="B1228" s="6" t="str">
        <f>"63221"</f>
        <v>63221</v>
      </c>
      <c r="C1228" s="1" t="s">
        <v>8</v>
      </c>
      <c r="D1228" s="1" t="s">
        <v>407</v>
      </c>
      <c r="E1228" s="6" t="str">
        <f>"002"</f>
        <v>002</v>
      </c>
      <c r="F1228" s="6">
        <v>2007</v>
      </c>
      <c r="G1228" s="7">
        <v>22714100</v>
      </c>
      <c r="H1228" s="7">
        <v>3976300</v>
      </c>
      <c r="I1228" s="7">
        <v>18737800</v>
      </c>
    </row>
    <row r="1229" spans="1:9" x14ac:dyDescent="0.2">
      <c r="A1229" s="1" t="s">
        <v>406</v>
      </c>
      <c r="B1229" s="6" t="str">
        <f>"63221"</f>
        <v>63221</v>
      </c>
      <c r="C1229" s="1" t="s">
        <v>8</v>
      </c>
      <c r="D1229" s="1" t="s">
        <v>407</v>
      </c>
      <c r="E1229" s="6" t="str">
        <f>"003"</f>
        <v>003</v>
      </c>
      <c r="F1229" s="6">
        <v>2007</v>
      </c>
      <c r="G1229" s="7">
        <v>42050100</v>
      </c>
      <c r="H1229" s="7">
        <v>7753200</v>
      </c>
      <c r="I1229" s="7">
        <v>34296900</v>
      </c>
    </row>
    <row r="1230" spans="1:9" x14ac:dyDescent="0.2">
      <c r="A1230" s="1" t="s">
        <v>408</v>
      </c>
      <c r="B1230" s="6" t="str">
        <f>"64115"</f>
        <v>64115</v>
      </c>
      <c r="C1230" s="1" t="s">
        <v>12</v>
      </c>
      <c r="D1230" s="1" t="s">
        <v>409</v>
      </c>
      <c r="E1230" s="6" t="str">
        <f>"001"</f>
        <v>001</v>
      </c>
      <c r="F1230" s="6">
        <v>2020</v>
      </c>
      <c r="G1230" s="7">
        <v>2278500</v>
      </c>
      <c r="H1230" s="7">
        <v>202800</v>
      </c>
      <c r="I1230" s="7">
        <v>2075700</v>
      </c>
    </row>
    <row r="1231" spans="1:9" x14ac:dyDescent="0.2">
      <c r="A1231" s="1" t="s">
        <v>408</v>
      </c>
      <c r="B1231" s="6" t="str">
        <f>"64116"</f>
        <v>64116</v>
      </c>
      <c r="C1231" s="1" t="s">
        <v>12</v>
      </c>
      <c r="D1231" s="1" t="s">
        <v>410</v>
      </c>
      <c r="E1231" s="6" t="str">
        <f>"003"</f>
        <v>003</v>
      </c>
      <c r="F1231" s="6">
        <v>2015</v>
      </c>
      <c r="G1231" s="7">
        <v>13514800</v>
      </c>
      <c r="H1231" s="7">
        <v>2174600</v>
      </c>
      <c r="I1231" s="7">
        <v>11340200</v>
      </c>
    </row>
    <row r="1232" spans="1:9" x14ac:dyDescent="0.2">
      <c r="A1232" s="1" t="s">
        <v>408</v>
      </c>
      <c r="B1232" s="6" t="str">
        <f>"64116"</f>
        <v>64116</v>
      </c>
      <c r="C1232" s="1" t="s">
        <v>12</v>
      </c>
      <c r="D1232" s="1" t="s">
        <v>410</v>
      </c>
      <c r="E1232" s="6" t="str">
        <f>"004"</f>
        <v>004</v>
      </c>
      <c r="F1232" s="6">
        <v>2022</v>
      </c>
      <c r="G1232" s="7">
        <v>57000</v>
      </c>
      <c r="H1232" s="7">
        <v>52500</v>
      </c>
      <c r="I1232" s="7">
        <v>4500</v>
      </c>
    </row>
    <row r="1233" spans="1:9" x14ac:dyDescent="0.2">
      <c r="A1233" s="1" t="s">
        <v>408</v>
      </c>
      <c r="B1233" s="6" t="str">
        <f>"64121"</f>
        <v>64121</v>
      </c>
      <c r="C1233" s="1" t="s">
        <v>12</v>
      </c>
      <c r="D1233" s="1" t="s">
        <v>411</v>
      </c>
      <c r="E1233" s="6" t="str">
        <f>"004"</f>
        <v>004</v>
      </c>
      <c r="F1233" s="6">
        <v>2018</v>
      </c>
      <c r="G1233" s="7">
        <v>44549800</v>
      </c>
      <c r="H1233" s="7">
        <v>1792100</v>
      </c>
      <c r="I1233" s="7">
        <v>42757700</v>
      </c>
    </row>
    <row r="1234" spans="1:9" x14ac:dyDescent="0.2">
      <c r="A1234" s="1" t="s">
        <v>408</v>
      </c>
      <c r="B1234" s="6" t="str">
        <f>"64126"</f>
        <v>64126</v>
      </c>
      <c r="C1234" s="1" t="s">
        <v>12</v>
      </c>
      <c r="D1234" s="1" t="s">
        <v>412</v>
      </c>
      <c r="E1234" s="6" t="str">
        <f>"001"</f>
        <v>001</v>
      </c>
      <c r="F1234" s="6">
        <v>2001</v>
      </c>
      <c r="G1234" s="7">
        <v>207115100</v>
      </c>
      <c r="H1234" s="7">
        <v>27480500</v>
      </c>
      <c r="I1234" s="7">
        <v>179634600</v>
      </c>
    </row>
    <row r="1235" spans="1:9" x14ac:dyDescent="0.2">
      <c r="A1235" s="1" t="s">
        <v>408</v>
      </c>
      <c r="B1235" s="6" t="str">
        <f>"64153"</f>
        <v>64153</v>
      </c>
      <c r="C1235" s="1" t="s">
        <v>12</v>
      </c>
      <c r="D1235" s="1" t="s">
        <v>413</v>
      </c>
      <c r="E1235" s="6" t="str">
        <f>"005"</f>
        <v>005</v>
      </c>
      <c r="F1235" s="6">
        <v>2018</v>
      </c>
      <c r="G1235" s="7">
        <v>80009400</v>
      </c>
      <c r="H1235" s="7">
        <v>315200</v>
      </c>
      <c r="I1235" s="7">
        <v>79694200</v>
      </c>
    </row>
    <row r="1236" spans="1:9" x14ac:dyDescent="0.2">
      <c r="A1236" s="1" t="s">
        <v>408</v>
      </c>
      <c r="B1236" s="6" t="str">
        <f>"64181"</f>
        <v>64181</v>
      </c>
      <c r="C1236" s="1" t="s">
        <v>12</v>
      </c>
      <c r="D1236" s="1" t="s">
        <v>414</v>
      </c>
      <c r="E1236" s="6" t="str">
        <f>"004"</f>
        <v>004</v>
      </c>
      <c r="F1236" s="6">
        <v>2007</v>
      </c>
      <c r="G1236" s="7">
        <v>1317600</v>
      </c>
      <c r="H1236" s="7">
        <v>1067100</v>
      </c>
      <c r="I1236" s="7">
        <v>250500</v>
      </c>
    </row>
    <row r="1237" spans="1:9" x14ac:dyDescent="0.2">
      <c r="A1237" s="1" t="s">
        <v>408</v>
      </c>
      <c r="B1237" s="6" t="str">
        <f>"64181"</f>
        <v>64181</v>
      </c>
      <c r="C1237" s="1" t="s">
        <v>12</v>
      </c>
      <c r="D1237" s="1" t="s">
        <v>414</v>
      </c>
      <c r="E1237" s="6" t="str">
        <f>"005"</f>
        <v>005</v>
      </c>
      <c r="F1237" s="6">
        <v>2021</v>
      </c>
      <c r="G1237" s="7">
        <v>14586500</v>
      </c>
      <c r="H1237" s="7">
        <v>1317500</v>
      </c>
      <c r="I1237" s="7">
        <v>13269000</v>
      </c>
    </row>
    <row r="1238" spans="1:9" x14ac:dyDescent="0.2">
      <c r="A1238" s="1" t="s">
        <v>408</v>
      </c>
      <c r="B1238" s="6" t="str">
        <f>"64191"</f>
        <v>64191</v>
      </c>
      <c r="C1238" s="1" t="s">
        <v>12</v>
      </c>
      <c r="D1238" s="1" t="s">
        <v>408</v>
      </c>
      <c r="E1238" s="6" t="str">
        <f>"001"</f>
        <v>001</v>
      </c>
      <c r="F1238" s="6">
        <v>2011</v>
      </c>
      <c r="G1238" s="7">
        <v>10765900</v>
      </c>
      <c r="H1238" s="7">
        <v>6963900</v>
      </c>
      <c r="I1238" s="7">
        <v>3802000</v>
      </c>
    </row>
    <row r="1239" spans="1:9" x14ac:dyDescent="0.2">
      <c r="A1239" s="1" t="s">
        <v>408</v>
      </c>
      <c r="B1239" s="6" t="str">
        <f>"64192"</f>
        <v>64192</v>
      </c>
      <c r="C1239" s="1" t="s">
        <v>12</v>
      </c>
      <c r="D1239" s="1" t="s">
        <v>415</v>
      </c>
      <c r="E1239" s="6" t="str">
        <f>"001"</f>
        <v>001</v>
      </c>
      <c r="F1239" s="6">
        <v>2024</v>
      </c>
      <c r="G1239" s="7">
        <v>515000</v>
      </c>
      <c r="H1239" s="7">
        <v>716100</v>
      </c>
      <c r="I1239" s="7">
        <v>-201100</v>
      </c>
    </row>
    <row r="1240" spans="1:9" x14ac:dyDescent="0.2">
      <c r="A1240" s="1" t="s">
        <v>408</v>
      </c>
      <c r="B1240" s="6" t="str">
        <f>"64216"</f>
        <v>64216</v>
      </c>
      <c r="C1240" s="1" t="s">
        <v>8</v>
      </c>
      <c r="D1240" s="1" t="s">
        <v>416</v>
      </c>
      <c r="E1240" s="6" t="str">
        <f>"004"</f>
        <v>004</v>
      </c>
      <c r="F1240" s="6">
        <v>2003</v>
      </c>
      <c r="G1240" s="7">
        <v>142043300</v>
      </c>
      <c r="H1240" s="7">
        <v>22997800</v>
      </c>
      <c r="I1240" s="7">
        <v>119045500</v>
      </c>
    </row>
    <row r="1241" spans="1:9" x14ac:dyDescent="0.2">
      <c r="A1241" s="1" t="s">
        <v>408</v>
      </c>
      <c r="B1241" s="6" t="str">
        <f>"64216"</f>
        <v>64216</v>
      </c>
      <c r="C1241" s="1" t="s">
        <v>8</v>
      </c>
      <c r="D1241" s="1" t="s">
        <v>416</v>
      </c>
      <c r="E1241" s="6" t="str">
        <f>"005"</f>
        <v>005</v>
      </c>
      <c r="F1241" s="6">
        <v>2012</v>
      </c>
      <c r="G1241" s="7">
        <v>46369500</v>
      </c>
      <c r="H1241" s="7">
        <v>21830800</v>
      </c>
      <c r="I1241" s="7">
        <v>24538700</v>
      </c>
    </row>
    <row r="1242" spans="1:9" x14ac:dyDescent="0.2">
      <c r="A1242" s="1" t="s">
        <v>408</v>
      </c>
      <c r="B1242" s="6" t="str">
        <f>"64216"</f>
        <v>64216</v>
      </c>
      <c r="C1242" s="1" t="s">
        <v>8</v>
      </c>
      <c r="D1242" s="1" t="s">
        <v>416</v>
      </c>
      <c r="E1242" s="6" t="str">
        <f>"006"</f>
        <v>006</v>
      </c>
      <c r="F1242" s="6">
        <v>2022</v>
      </c>
      <c r="G1242" s="7">
        <v>16020200</v>
      </c>
      <c r="H1242" s="7">
        <v>4988800</v>
      </c>
      <c r="I1242" s="7">
        <v>11031400</v>
      </c>
    </row>
    <row r="1243" spans="1:9" x14ac:dyDescent="0.2">
      <c r="A1243" s="1" t="s">
        <v>408</v>
      </c>
      <c r="B1243" s="6" t="str">
        <f>"64221"</f>
        <v>64221</v>
      </c>
      <c r="C1243" s="1" t="s">
        <v>8</v>
      </c>
      <c r="D1243" s="1" t="s">
        <v>417</v>
      </c>
      <c r="E1243" s="6" t="str">
        <f>"004"</f>
        <v>004</v>
      </c>
      <c r="F1243" s="6">
        <v>2017</v>
      </c>
      <c r="G1243" s="7">
        <v>23592400</v>
      </c>
      <c r="H1243" s="7">
        <v>4566000</v>
      </c>
      <c r="I1243" s="7">
        <v>19026400</v>
      </c>
    </row>
    <row r="1244" spans="1:9" x14ac:dyDescent="0.2">
      <c r="A1244" s="1" t="s">
        <v>408</v>
      </c>
      <c r="B1244" s="6" t="str">
        <f>"64291"</f>
        <v>64291</v>
      </c>
      <c r="C1244" s="1" t="s">
        <v>8</v>
      </c>
      <c r="D1244" s="1" t="s">
        <v>185</v>
      </c>
      <c r="E1244" s="6" t="str">
        <f>"010"</f>
        <v>010</v>
      </c>
      <c r="F1244" s="6">
        <v>2021</v>
      </c>
      <c r="G1244" s="7">
        <v>60155800</v>
      </c>
      <c r="H1244" s="7">
        <v>45859100</v>
      </c>
      <c r="I1244" s="7">
        <v>14296700</v>
      </c>
    </row>
    <row r="1245" spans="1:9" x14ac:dyDescent="0.2">
      <c r="A1245" s="1" t="s">
        <v>408</v>
      </c>
      <c r="B1245" s="6" t="str">
        <f>"64291"</f>
        <v>64291</v>
      </c>
      <c r="C1245" s="1" t="s">
        <v>8</v>
      </c>
      <c r="D1245" s="1" t="s">
        <v>185</v>
      </c>
      <c r="E1245" s="6" t="str">
        <f>"011"</f>
        <v>011</v>
      </c>
      <c r="F1245" s="6">
        <v>2021</v>
      </c>
      <c r="G1245" s="7">
        <v>9233900</v>
      </c>
      <c r="H1245" s="7">
        <v>4507000</v>
      </c>
      <c r="I1245" s="7">
        <v>4726900</v>
      </c>
    </row>
    <row r="1246" spans="1:9" x14ac:dyDescent="0.2">
      <c r="A1246" s="1" t="s">
        <v>408</v>
      </c>
      <c r="B1246" s="6" t="str">
        <f>"64291"</f>
        <v>64291</v>
      </c>
      <c r="C1246" s="1" t="s">
        <v>8</v>
      </c>
      <c r="D1246" s="1" t="s">
        <v>185</v>
      </c>
      <c r="E1246" s="6" t="str">
        <f>"012"</f>
        <v>012</v>
      </c>
      <c r="F1246" s="6">
        <v>2021</v>
      </c>
      <c r="G1246" s="7">
        <v>26708700</v>
      </c>
      <c r="H1246" s="7">
        <v>19007800</v>
      </c>
      <c r="I1246" s="7">
        <v>7700900</v>
      </c>
    </row>
    <row r="1247" spans="1:9" x14ac:dyDescent="0.2">
      <c r="A1247" s="1" t="s">
        <v>408</v>
      </c>
      <c r="B1247" s="6" t="str">
        <f>"64291"</f>
        <v>64291</v>
      </c>
      <c r="C1247" s="1" t="s">
        <v>8</v>
      </c>
      <c r="D1247" s="1" t="s">
        <v>185</v>
      </c>
      <c r="E1247" s="6" t="str">
        <f>"013"</f>
        <v>013</v>
      </c>
      <c r="F1247" s="6">
        <v>2021</v>
      </c>
      <c r="G1247" s="7">
        <v>11208100</v>
      </c>
      <c r="H1247" s="7">
        <v>6156200</v>
      </c>
      <c r="I1247" s="7">
        <v>5051900</v>
      </c>
    </row>
    <row r="1248" spans="1:9" x14ac:dyDescent="0.2">
      <c r="A1248" s="1" t="s">
        <v>408</v>
      </c>
      <c r="B1248" s="6" t="str">
        <f>"64291"</f>
        <v>64291</v>
      </c>
      <c r="C1248" s="1" t="s">
        <v>8</v>
      </c>
      <c r="D1248" s="1" t="s">
        <v>185</v>
      </c>
      <c r="E1248" s="6" t="str">
        <f>"014"</f>
        <v>014</v>
      </c>
      <c r="F1248" s="6">
        <v>2021</v>
      </c>
      <c r="G1248" s="7">
        <v>35264200</v>
      </c>
      <c r="H1248" s="7">
        <v>16586900</v>
      </c>
      <c r="I1248" s="7">
        <v>18677300</v>
      </c>
    </row>
    <row r="1249" spans="1:10" x14ac:dyDescent="0.2">
      <c r="A1249" s="1" t="s">
        <v>21</v>
      </c>
      <c r="B1249" s="6" t="str">
        <f>"65106"</f>
        <v>65106</v>
      </c>
      <c r="C1249" s="1" t="s">
        <v>12</v>
      </c>
      <c r="D1249" s="1" t="s">
        <v>418</v>
      </c>
      <c r="E1249" s="6" t="str">
        <f>"001"</f>
        <v>001</v>
      </c>
      <c r="F1249" s="6">
        <v>2004</v>
      </c>
      <c r="G1249" s="7">
        <v>5400700</v>
      </c>
      <c r="H1249" s="7">
        <v>1766800</v>
      </c>
      <c r="I1249" s="7">
        <v>3633900</v>
      </c>
    </row>
    <row r="1250" spans="1:10" x14ac:dyDescent="0.2">
      <c r="A1250" s="12" t="s">
        <v>21</v>
      </c>
      <c r="B1250" s="13" t="str">
        <f>"65151"</f>
        <v>65151</v>
      </c>
      <c r="C1250" s="12" t="s">
        <v>12</v>
      </c>
      <c r="D1250" s="12" t="s">
        <v>419</v>
      </c>
      <c r="E1250" s="13" t="str">
        <f>"003"</f>
        <v>003</v>
      </c>
      <c r="F1250" s="13">
        <v>2010</v>
      </c>
      <c r="G1250" s="9">
        <v>1425600</v>
      </c>
      <c r="H1250" s="9">
        <v>84900</v>
      </c>
      <c r="I1250" s="9">
        <v>1340700</v>
      </c>
      <c r="J1250" s="14"/>
    </row>
    <row r="1251" spans="1:10" x14ac:dyDescent="0.2">
      <c r="A1251" s="1" t="s">
        <v>21</v>
      </c>
      <c r="B1251" s="6" t="str">
        <f>"65151"</f>
        <v>65151</v>
      </c>
      <c r="C1251" s="1" t="s">
        <v>12</v>
      </c>
      <c r="D1251" s="1" t="s">
        <v>419</v>
      </c>
      <c r="E1251" s="6" t="str">
        <f>"004"</f>
        <v>004</v>
      </c>
      <c r="F1251" s="6">
        <v>2019</v>
      </c>
      <c r="G1251" s="7">
        <v>3032800</v>
      </c>
      <c r="H1251" s="7">
        <v>933000</v>
      </c>
      <c r="I1251" s="7">
        <v>2099800</v>
      </c>
    </row>
    <row r="1252" spans="1:10" x14ac:dyDescent="0.2">
      <c r="A1252" s="1" t="s">
        <v>420</v>
      </c>
      <c r="B1252" s="6" t="str">
        <f>"66131"</f>
        <v>66131</v>
      </c>
      <c r="C1252" s="1" t="s">
        <v>12</v>
      </c>
      <c r="D1252" s="1" t="s">
        <v>421</v>
      </c>
      <c r="E1252" s="6" t="str">
        <f>"006"</f>
        <v>006</v>
      </c>
      <c r="F1252" s="6">
        <v>2014</v>
      </c>
      <c r="G1252" s="7">
        <v>64308800</v>
      </c>
      <c r="H1252" s="7">
        <v>2796400</v>
      </c>
      <c r="I1252" s="7">
        <v>61512400</v>
      </c>
    </row>
    <row r="1253" spans="1:10" x14ac:dyDescent="0.2">
      <c r="A1253" s="1" t="s">
        <v>420</v>
      </c>
      <c r="B1253" s="6" t="str">
        <f>"66131"</f>
        <v>66131</v>
      </c>
      <c r="C1253" s="1" t="s">
        <v>12</v>
      </c>
      <c r="D1253" s="1" t="s">
        <v>421</v>
      </c>
      <c r="E1253" s="6" t="str">
        <f>"007"</f>
        <v>007</v>
      </c>
      <c r="F1253" s="6">
        <v>2018</v>
      </c>
      <c r="G1253" s="7">
        <v>65992600</v>
      </c>
      <c r="H1253" s="7">
        <v>9892300</v>
      </c>
      <c r="I1253" s="7">
        <v>56100300</v>
      </c>
    </row>
    <row r="1254" spans="1:10" x14ac:dyDescent="0.2">
      <c r="A1254" s="1" t="s">
        <v>420</v>
      </c>
      <c r="B1254" s="6" t="str">
        <f>"66131"</f>
        <v>66131</v>
      </c>
      <c r="C1254" s="1" t="s">
        <v>12</v>
      </c>
      <c r="D1254" s="1" t="s">
        <v>421</v>
      </c>
      <c r="E1254" s="6" t="str">
        <f>"008"</f>
        <v>008</v>
      </c>
      <c r="F1254" s="6">
        <v>2018</v>
      </c>
      <c r="G1254" s="7">
        <v>240334300</v>
      </c>
      <c r="H1254" s="7">
        <v>640700</v>
      </c>
      <c r="I1254" s="7">
        <v>239693600</v>
      </c>
    </row>
    <row r="1255" spans="1:10" x14ac:dyDescent="0.2">
      <c r="A1255" s="1" t="s">
        <v>420</v>
      </c>
      <c r="B1255" s="6" t="str">
        <f>"66131"</f>
        <v>66131</v>
      </c>
      <c r="C1255" s="1" t="s">
        <v>12</v>
      </c>
      <c r="D1255" s="1" t="s">
        <v>421</v>
      </c>
      <c r="E1255" s="6" t="str">
        <f>"009"</f>
        <v>009</v>
      </c>
      <c r="F1255" s="6">
        <v>2022</v>
      </c>
      <c r="G1255" s="7">
        <v>57673700</v>
      </c>
      <c r="H1255" s="7">
        <v>21361400</v>
      </c>
      <c r="I1255" s="7">
        <v>36312300</v>
      </c>
    </row>
    <row r="1256" spans="1:10" x14ac:dyDescent="0.2">
      <c r="A1256" s="1" t="s">
        <v>420</v>
      </c>
      <c r="B1256" s="6" t="str">
        <f>"66141"</f>
        <v>66141</v>
      </c>
      <c r="C1256" s="1" t="s">
        <v>12</v>
      </c>
      <c r="D1256" s="1" t="s">
        <v>172</v>
      </c>
      <c r="E1256" s="6" t="str">
        <f>"005"</f>
        <v>005</v>
      </c>
      <c r="F1256" s="6">
        <v>2014</v>
      </c>
      <c r="G1256" s="7">
        <v>8179700</v>
      </c>
      <c r="H1256" s="7">
        <v>933100</v>
      </c>
      <c r="I1256" s="7">
        <v>7246600</v>
      </c>
    </row>
    <row r="1257" spans="1:10" x14ac:dyDescent="0.2">
      <c r="A1257" s="1" t="s">
        <v>420</v>
      </c>
      <c r="B1257" s="6" t="str">
        <f>"66141"</f>
        <v>66141</v>
      </c>
      <c r="C1257" s="1" t="s">
        <v>12</v>
      </c>
      <c r="D1257" s="1" t="s">
        <v>172</v>
      </c>
      <c r="E1257" s="6" t="str">
        <f>"006"</f>
        <v>006</v>
      </c>
      <c r="F1257" s="6">
        <v>2018</v>
      </c>
      <c r="G1257" s="7">
        <v>34475800</v>
      </c>
      <c r="H1257" s="7">
        <v>474900</v>
      </c>
      <c r="I1257" s="7">
        <v>34000900</v>
      </c>
    </row>
    <row r="1258" spans="1:10" x14ac:dyDescent="0.2">
      <c r="A1258" s="1" t="s">
        <v>420</v>
      </c>
      <c r="B1258" s="6" t="str">
        <f>"66141"</f>
        <v>66141</v>
      </c>
      <c r="C1258" s="1" t="s">
        <v>12</v>
      </c>
      <c r="D1258" s="1" t="s">
        <v>172</v>
      </c>
      <c r="E1258" s="6" t="str">
        <f>"007"</f>
        <v>007</v>
      </c>
      <c r="F1258" s="6">
        <v>2019</v>
      </c>
      <c r="G1258" s="7">
        <v>28609800</v>
      </c>
      <c r="H1258" s="7">
        <v>8854300</v>
      </c>
      <c r="I1258" s="7">
        <v>19755500</v>
      </c>
    </row>
    <row r="1259" spans="1:10" x14ac:dyDescent="0.2">
      <c r="A1259" s="1" t="s">
        <v>420</v>
      </c>
      <c r="B1259" s="6" t="str">
        <f>"66142"</f>
        <v>66142</v>
      </c>
      <c r="C1259" s="1" t="s">
        <v>12</v>
      </c>
      <c r="D1259" s="1" t="s">
        <v>422</v>
      </c>
      <c r="E1259" s="6" t="str">
        <f>"002"</f>
        <v>002</v>
      </c>
      <c r="F1259" s="6">
        <v>2005</v>
      </c>
      <c r="G1259" s="7">
        <v>46658900</v>
      </c>
      <c r="H1259" s="7">
        <v>1785700</v>
      </c>
      <c r="I1259" s="7">
        <v>44873200</v>
      </c>
    </row>
    <row r="1260" spans="1:10" x14ac:dyDescent="0.2">
      <c r="A1260" s="1" t="s">
        <v>420</v>
      </c>
      <c r="B1260" s="6" t="str">
        <f>"66142"</f>
        <v>66142</v>
      </c>
      <c r="C1260" s="1" t="s">
        <v>12</v>
      </c>
      <c r="D1260" s="1" t="s">
        <v>422</v>
      </c>
      <c r="E1260" s="6" t="str">
        <f>"003"</f>
        <v>003</v>
      </c>
      <c r="F1260" s="6">
        <v>2021</v>
      </c>
      <c r="G1260" s="7">
        <v>10774400</v>
      </c>
      <c r="H1260" s="7">
        <v>4141200</v>
      </c>
      <c r="I1260" s="7">
        <v>6633200</v>
      </c>
    </row>
    <row r="1261" spans="1:10" x14ac:dyDescent="0.2">
      <c r="A1261" s="1" t="s">
        <v>420</v>
      </c>
      <c r="B1261" s="6" t="str">
        <f>"66142"</f>
        <v>66142</v>
      </c>
      <c r="C1261" s="1" t="s">
        <v>12</v>
      </c>
      <c r="D1261" s="1" t="s">
        <v>422</v>
      </c>
      <c r="E1261" s="6" t="str">
        <f>"004"</f>
        <v>004</v>
      </c>
      <c r="F1261" s="6">
        <v>2023</v>
      </c>
      <c r="G1261" s="7">
        <v>25545300</v>
      </c>
      <c r="H1261" s="7">
        <v>334500</v>
      </c>
      <c r="I1261" s="7">
        <v>25210800</v>
      </c>
    </row>
    <row r="1262" spans="1:10" x14ac:dyDescent="0.2">
      <c r="A1262" s="1" t="s">
        <v>420</v>
      </c>
      <c r="B1262" s="6" t="str">
        <f>"66166"</f>
        <v>66166</v>
      </c>
      <c r="C1262" s="1" t="s">
        <v>12</v>
      </c>
      <c r="D1262" s="1" t="s">
        <v>423</v>
      </c>
      <c r="E1262" s="6" t="str">
        <f>"001"</f>
        <v>001</v>
      </c>
      <c r="F1262" s="6">
        <v>2021</v>
      </c>
      <c r="G1262" s="7">
        <v>7419000</v>
      </c>
      <c r="H1262" s="7">
        <v>644900</v>
      </c>
      <c r="I1262" s="7">
        <v>6774100</v>
      </c>
    </row>
    <row r="1263" spans="1:10" x14ac:dyDescent="0.2">
      <c r="A1263" s="1" t="s">
        <v>420</v>
      </c>
      <c r="B1263" s="6" t="str">
        <f>"66181"</f>
        <v>66181</v>
      </c>
      <c r="C1263" s="1" t="s">
        <v>12</v>
      </c>
      <c r="D1263" s="1" t="s">
        <v>424</v>
      </c>
      <c r="E1263" s="6" t="str">
        <f>"004"</f>
        <v>004</v>
      </c>
      <c r="F1263" s="6">
        <v>2015</v>
      </c>
      <c r="G1263" s="7">
        <v>33419300</v>
      </c>
      <c r="H1263" s="7">
        <v>3546200</v>
      </c>
      <c r="I1263" s="7">
        <v>29873100</v>
      </c>
    </row>
    <row r="1264" spans="1:10" x14ac:dyDescent="0.2">
      <c r="A1264" s="1" t="s">
        <v>420</v>
      </c>
      <c r="B1264" s="6" t="str">
        <f>"66181"</f>
        <v>66181</v>
      </c>
      <c r="C1264" s="1" t="s">
        <v>12</v>
      </c>
      <c r="D1264" s="1" t="s">
        <v>424</v>
      </c>
      <c r="E1264" s="6" t="str">
        <f>"005"</f>
        <v>005</v>
      </c>
      <c r="F1264" s="6">
        <v>2016</v>
      </c>
      <c r="G1264" s="7">
        <v>6551100</v>
      </c>
      <c r="H1264" s="7">
        <v>784400</v>
      </c>
      <c r="I1264" s="7">
        <v>5766700</v>
      </c>
    </row>
    <row r="1265" spans="1:9" x14ac:dyDescent="0.2">
      <c r="A1265" s="1" t="s">
        <v>420</v>
      </c>
      <c r="B1265" s="6" t="str">
        <f>"66181"</f>
        <v>66181</v>
      </c>
      <c r="C1265" s="1" t="s">
        <v>12</v>
      </c>
      <c r="D1265" s="1" t="s">
        <v>424</v>
      </c>
      <c r="E1265" s="6" t="str">
        <f>"006"</f>
        <v>006</v>
      </c>
      <c r="F1265" s="6">
        <v>2021</v>
      </c>
      <c r="G1265" s="7">
        <v>31070000</v>
      </c>
      <c r="H1265" s="7">
        <v>18448800</v>
      </c>
      <c r="I1265" s="7">
        <v>12621200</v>
      </c>
    </row>
    <row r="1266" spans="1:9" x14ac:dyDescent="0.2">
      <c r="A1266" s="1" t="s">
        <v>420</v>
      </c>
      <c r="B1266" s="6" t="str">
        <f>"66181"</f>
        <v>66181</v>
      </c>
      <c r="C1266" s="1" t="s">
        <v>12</v>
      </c>
      <c r="D1266" s="1" t="s">
        <v>424</v>
      </c>
      <c r="E1266" s="6" t="str">
        <f>"007"</f>
        <v>007</v>
      </c>
      <c r="F1266" s="6">
        <v>2022</v>
      </c>
      <c r="G1266" s="7">
        <v>5229100</v>
      </c>
      <c r="H1266" s="7">
        <v>1876300</v>
      </c>
      <c r="I1266" s="7">
        <v>3352800</v>
      </c>
    </row>
    <row r="1267" spans="1:9" x14ac:dyDescent="0.2">
      <c r="A1267" s="1" t="s">
        <v>420</v>
      </c>
      <c r="B1267" s="6" t="str">
        <f>"66181"</f>
        <v>66181</v>
      </c>
      <c r="C1267" s="1" t="s">
        <v>12</v>
      </c>
      <c r="D1267" s="1" t="s">
        <v>424</v>
      </c>
      <c r="E1267" s="6" t="str">
        <f>"008"</f>
        <v>008</v>
      </c>
      <c r="F1267" s="6">
        <v>2023</v>
      </c>
      <c r="G1267" s="7">
        <v>5439200</v>
      </c>
      <c r="H1267" s="7">
        <v>748400</v>
      </c>
      <c r="I1267" s="7">
        <v>4690800</v>
      </c>
    </row>
    <row r="1268" spans="1:9" x14ac:dyDescent="0.2">
      <c r="A1268" s="1" t="s">
        <v>420</v>
      </c>
      <c r="B1268" s="6" t="str">
        <f t="shared" ref="B1268:B1273" si="50">"66236"</f>
        <v>66236</v>
      </c>
      <c r="C1268" s="1" t="s">
        <v>8</v>
      </c>
      <c r="D1268" s="1" t="s">
        <v>115</v>
      </c>
      <c r="E1268" s="6" t="str">
        <f>"006"</f>
        <v>006</v>
      </c>
      <c r="F1268" s="6">
        <v>2008</v>
      </c>
      <c r="G1268" s="7">
        <v>3359900</v>
      </c>
      <c r="H1268" s="7">
        <v>1100000</v>
      </c>
      <c r="I1268" s="7">
        <v>2259900</v>
      </c>
    </row>
    <row r="1269" spans="1:9" x14ac:dyDescent="0.2">
      <c r="A1269" s="1" t="s">
        <v>420</v>
      </c>
      <c r="B1269" s="6" t="str">
        <f t="shared" si="50"/>
        <v>66236</v>
      </c>
      <c r="C1269" s="1" t="s">
        <v>8</v>
      </c>
      <c r="D1269" s="1" t="s">
        <v>115</v>
      </c>
      <c r="E1269" s="6" t="str">
        <f>"007"</f>
        <v>007</v>
      </c>
      <c r="F1269" s="6">
        <v>2011</v>
      </c>
      <c r="G1269" s="7">
        <v>4342200</v>
      </c>
      <c r="H1269" s="7">
        <v>3600</v>
      </c>
      <c r="I1269" s="7">
        <v>4338600</v>
      </c>
    </row>
    <row r="1270" spans="1:9" x14ac:dyDescent="0.2">
      <c r="A1270" s="1" t="s">
        <v>420</v>
      </c>
      <c r="B1270" s="6" t="str">
        <f t="shared" si="50"/>
        <v>66236</v>
      </c>
      <c r="C1270" s="1" t="s">
        <v>8</v>
      </c>
      <c r="D1270" s="1" t="s">
        <v>115</v>
      </c>
      <c r="E1270" s="6" t="str">
        <f>"008"</f>
        <v>008</v>
      </c>
      <c r="F1270" s="6">
        <v>2013</v>
      </c>
      <c r="G1270" s="7">
        <v>13627200</v>
      </c>
      <c r="H1270" s="7">
        <v>5506100</v>
      </c>
      <c r="I1270" s="7">
        <v>8121100</v>
      </c>
    </row>
    <row r="1271" spans="1:9" x14ac:dyDescent="0.2">
      <c r="A1271" s="1" t="s">
        <v>420</v>
      </c>
      <c r="B1271" s="6" t="str">
        <f t="shared" si="50"/>
        <v>66236</v>
      </c>
      <c r="C1271" s="1" t="s">
        <v>8</v>
      </c>
      <c r="D1271" s="1" t="s">
        <v>115</v>
      </c>
      <c r="E1271" s="6" t="str">
        <f>"010"</f>
        <v>010</v>
      </c>
      <c r="F1271" s="6">
        <v>2017</v>
      </c>
      <c r="G1271" s="7">
        <v>28172200</v>
      </c>
      <c r="H1271" s="7">
        <v>4696300</v>
      </c>
      <c r="I1271" s="7">
        <v>23475900</v>
      </c>
    </row>
    <row r="1272" spans="1:9" x14ac:dyDescent="0.2">
      <c r="A1272" s="1" t="s">
        <v>420</v>
      </c>
      <c r="B1272" s="6" t="str">
        <f t="shared" si="50"/>
        <v>66236</v>
      </c>
      <c r="C1272" s="1" t="s">
        <v>8</v>
      </c>
      <c r="D1272" s="1" t="s">
        <v>115</v>
      </c>
      <c r="E1272" s="6" t="str">
        <f>"011"</f>
        <v>011</v>
      </c>
      <c r="F1272" s="6">
        <v>2017</v>
      </c>
      <c r="G1272" s="7">
        <v>15493800</v>
      </c>
      <c r="H1272" s="7">
        <v>7561400</v>
      </c>
      <c r="I1272" s="7">
        <v>7932400</v>
      </c>
    </row>
    <row r="1273" spans="1:9" x14ac:dyDescent="0.2">
      <c r="A1273" s="1" t="s">
        <v>420</v>
      </c>
      <c r="B1273" s="6" t="str">
        <f t="shared" si="50"/>
        <v>66236</v>
      </c>
      <c r="C1273" s="1" t="s">
        <v>8</v>
      </c>
      <c r="D1273" s="1" t="s">
        <v>115</v>
      </c>
      <c r="E1273" s="6" t="str">
        <f>"013"</f>
        <v>013</v>
      </c>
      <c r="F1273" s="6">
        <v>2024</v>
      </c>
      <c r="G1273" s="7">
        <v>53688400</v>
      </c>
      <c r="H1273" s="7">
        <v>48259700</v>
      </c>
      <c r="I1273" s="7">
        <v>5428700</v>
      </c>
    </row>
    <row r="1274" spans="1:9" x14ac:dyDescent="0.2">
      <c r="A1274" s="1" t="s">
        <v>420</v>
      </c>
      <c r="B1274" s="6" t="str">
        <f t="shared" ref="B1274:B1286" si="51">"66291"</f>
        <v>66291</v>
      </c>
      <c r="C1274" s="1" t="s">
        <v>8</v>
      </c>
      <c r="D1274" s="1" t="s">
        <v>425</v>
      </c>
      <c r="E1274" s="6" t="str">
        <f>"003"</f>
        <v>003</v>
      </c>
      <c r="F1274" s="6">
        <v>1995</v>
      </c>
      <c r="G1274" s="7">
        <v>48301300</v>
      </c>
      <c r="H1274" s="7">
        <v>4817700</v>
      </c>
      <c r="I1274" s="7">
        <v>43483600</v>
      </c>
    </row>
    <row r="1275" spans="1:9" x14ac:dyDescent="0.2">
      <c r="A1275" s="1" t="s">
        <v>420</v>
      </c>
      <c r="B1275" s="6" t="str">
        <f t="shared" si="51"/>
        <v>66291</v>
      </c>
      <c r="C1275" s="1" t="s">
        <v>8</v>
      </c>
      <c r="D1275" s="1" t="s">
        <v>425</v>
      </c>
      <c r="E1275" s="6" t="str">
        <f>"004"</f>
        <v>004</v>
      </c>
      <c r="F1275" s="6">
        <v>1997</v>
      </c>
      <c r="G1275" s="7">
        <v>104532700</v>
      </c>
      <c r="H1275" s="7">
        <v>829900</v>
      </c>
      <c r="I1275" s="7">
        <v>103702800</v>
      </c>
    </row>
    <row r="1276" spans="1:9" x14ac:dyDescent="0.2">
      <c r="A1276" s="1" t="s">
        <v>420</v>
      </c>
      <c r="B1276" s="6" t="str">
        <f t="shared" si="51"/>
        <v>66291</v>
      </c>
      <c r="C1276" s="1" t="s">
        <v>8</v>
      </c>
      <c r="D1276" s="1" t="s">
        <v>425</v>
      </c>
      <c r="E1276" s="6" t="str">
        <f>"005"</f>
        <v>005</v>
      </c>
      <c r="F1276" s="6">
        <v>1998</v>
      </c>
      <c r="G1276" s="7">
        <v>23068300</v>
      </c>
      <c r="H1276" s="7">
        <v>1627600</v>
      </c>
      <c r="I1276" s="7">
        <v>21440700</v>
      </c>
    </row>
    <row r="1277" spans="1:9" x14ac:dyDescent="0.2">
      <c r="A1277" s="1" t="s">
        <v>420</v>
      </c>
      <c r="B1277" s="6" t="str">
        <f t="shared" si="51"/>
        <v>66291</v>
      </c>
      <c r="C1277" s="1" t="s">
        <v>8</v>
      </c>
      <c r="D1277" s="1" t="s">
        <v>425</v>
      </c>
      <c r="E1277" s="6" t="str">
        <f>"006"</f>
        <v>006</v>
      </c>
      <c r="F1277" s="6">
        <v>1999</v>
      </c>
      <c r="G1277" s="7">
        <v>73904500</v>
      </c>
      <c r="H1277" s="7">
        <v>3654000</v>
      </c>
      <c r="I1277" s="7">
        <v>70250500</v>
      </c>
    </row>
    <row r="1278" spans="1:9" x14ac:dyDescent="0.2">
      <c r="A1278" s="1" t="s">
        <v>420</v>
      </c>
      <c r="B1278" s="6" t="str">
        <f t="shared" si="51"/>
        <v>66291</v>
      </c>
      <c r="C1278" s="1" t="s">
        <v>8</v>
      </c>
      <c r="D1278" s="1" t="s">
        <v>425</v>
      </c>
      <c r="E1278" s="6" t="str">
        <f>"007"</f>
        <v>007</v>
      </c>
      <c r="F1278" s="6">
        <v>1999</v>
      </c>
      <c r="G1278" s="7">
        <v>45975700</v>
      </c>
      <c r="H1278" s="7">
        <v>19072200</v>
      </c>
      <c r="I1278" s="7">
        <v>26903500</v>
      </c>
    </row>
    <row r="1279" spans="1:9" x14ac:dyDescent="0.2">
      <c r="A1279" s="1" t="s">
        <v>420</v>
      </c>
      <c r="B1279" s="6" t="str">
        <f t="shared" si="51"/>
        <v>66291</v>
      </c>
      <c r="C1279" s="1" t="s">
        <v>8</v>
      </c>
      <c r="D1279" s="1" t="s">
        <v>425</v>
      </c>
      <c r="E1279" s="6" t="str">
        <f>"009"</f>
        <v>009</v>
      </c>
      <c r="F1279" s="6">
        <v>2003</v>
      </c>
      <c r="G1279" s="7">
        <v>8566100</v>
      </c>
      <c r="H1279" s="7">
        <v>3961200</v>
      </c>
      <c r="I1279" s="7">
        <v>4604900</v>
      </c>
    </row>
    <row r="1280" spans="1:9" x14ac:dyDescent="0.2">
      <c r="A1280" s="1" t="s">
        <v>420</v>
      </c>
      <c r="B1280" s="6" t="str">
        <f t="shared" si="51"/>
        <v>66291</v>
      </c>
      <c r="C1280" s="1" t="s">
        <v>8</v>
      </c>
      <c r="D1280" s="1" t="s">
        <v>425</v>
      </c>
      <c r="E1280" s="6" t="str">
        <f>"010"</f>
        <v>010</v>
      </c>
      <c r="F1280" s="6">
        <v>2004</v>
      </c>
      <c r="G1280" s="7">
        <v>59007600</v>
      </c>
      <c r="H1280" s="7">
        <v>6357400</v>
      </c>
      <c r="I1280" s="7">
        <v>52650200</v>
      </c>
    </row>
    <row r="1281" spans="1:9" x14ac:dyDescent="0.2">
      <c r="A1281" s="1" t="s">
        <v>420</v>
      </c>
      <c r="B1281" s="6" t="str">
        <f t="shared" si="51"/>
        <v>66291</v>
      </c>
      <c r="C1281" s="1" t="s">
        <v>8</v>
      </c>
      <c r="D1281" s="1" t="s">
        <v>425</v>
      </c>
      <c r="E1281" s="6" t="str">
        <f>"011"</f>
        <v>011</v>
      </c>
      <c r="F1281" s="6">
        <v>2005</v>
      </c>
      <c r="G1281" s="7">
        <v>41833100</v>
      </c>
      <c r="H1281" s="7">
        <v>9250700</v>
      </c>
      <c r="I1281" s="7">
        <v>32582400</v>
      </c>
    </row>
    <row r="1282" spans="1:9" x14ac:dyDescent="0.2">
      <c r="A1282" s="1" t="s">
        <v>420</v>
      </c>
      <c r="B1282" s="6" t="str">
        <f t="shared" si="51"/>
        <v>66291</v>
      </c>
      <c r="C1282" s="1" t="s">
        <v>8</v>
      </c>
      <c r="D1282" s="1" t="s">
        <v>425</v>
      </c>
      <c r="E1282" s="6" t="str">
        <f>"012"</f>
        <v>012</v>
      </c>
      <c r="F1282" s="6">
        <v>2008</v>
      </c>
      <c r="G1282" s="7">
        <v>94608300</v>
      </c>
      <c r="H1282" s="7">
        <v>10914800</v>
      </c>
      <c r="I1282" s="7">
        <v>83693500</v>
      </c>
    </row>
    <row r="1283" spans="1:9" x14ac:dyDescent="0.2">
      <c r="A1283" s="1" t="s">
        <v>420</v>
      </c>
      <c r="B1283" s="6" t="str">
        <f t="shared" si="51"/>
        <v>66291</v>
      </c>
      <c r="C1283" s="1" t="s">
        <v>8</v>
      </c>
      <c r="D1283" s="1" t="s">
        <v>425</v>
      </c>
      <c r="E1283" s="6" t="str">
        <f>"013"</f>
        <v>013</v>
      </c>
      <c r="F1283" s="6">
        <v>2011</v>
      </c>
      <c r="G1283" s="7">
        <v>11863600</v>
      </c>
      <c r="H1283" s="7">
        <v>3634200</v>
      </c>
      <c r="I1283" s="7">
        <v>8229400</v>
      </c>
    </row>
    <row r="1284" spans="1:9" x14ac:dyDescent="0.2">
      <c r="A1284" s="1" t="s">
        <v>420</v>
      </c>
      <c r="B1284" s="6" t="str">
        <f t="shared" si="51"/>
        <v>66291</v>
      </c>
      <c r="C1284" s="1" t="s">
        <v>8</v>
      </c>
      <c r="D1284" s="1" t="s">
        <v>425</v>
      </c>
      <c r="E1284" s="6" t="str">
        <f>"014"</f>
        <v>014</v>
      </c>
      <c r="F1284" s="6">
        <v>2020</v>
      </c>
      <c r="G1284" s="7">
        <v>18017200</v>
      </c>
      <c r="H1284" s="7">
        <v>21800</v>
      </c>
      <c r="I1284" s="7">
        <v>17995400</v>
      </c>
    </row>
    <row r="1285" spans="1:9" x14ac:dyDescent="0.2">
      <c r="A1285" s="1" t="s">
        <v>420</v>
      </c>
      <c r="B1285" s="6" t="str">
        <f t="shared" si="51"/>
        <v>66291</v>
      </c>
      <c r="C1285" s="1" t="s">
        <v>8</v>
      </c>
      <c r="D1285" s="1" t="s">
        <v>425</v>
      </c>
      <c r="E1285" s="6" t="str">
        <f>"015"</f>
        <v>015</v>
      </c>
      <c r="F1285" s="6">
        <v>2021</v>
      </c>
      <c r="G1285" s="7">
        <v>46390300</v>
      </c>
      <c r="H1285" s="7">
        <v>2090200</v>
      </c>
      <c r="I1285" s="7">
        <v>44300100</v>
      </c>
    </row>
    <row r="1286" spans="1:9" x14ac:dyDescent="0.2">
      <c r="A1286" s="1" t="s">
        <v>420</v>
      </c>
      <c r="B1286" s="6" t="str">
        <f t="shared" si="51"/>
        <v>66291</v>
      </c>
      <c r="C1286" s="1" t="s">
        <v>8</v>
      </c>
      <c r="D1286" s="1" t="s">
        <v>425</v>
      </c>
      <c r="E1286" s="6" t="str">
        <f>"016"</f>
        <v>016</v>
      </c>
      <c r="F1286" s="6">
        <v>2023</v>
      </c>
      <c r="G1286" s="7">
        <v>23802900</v>
      </c>
      <c r="H1286" s="7">
        <v>2341900</v>
      </c>
      <c r="I1286" s="7">
        <v>21461000</v>
      </c>
    </row>
    <row r="1287" spans="1:9" x14ac:dyDescent="0.2">
      <c r="A1287" s="1" t="s">
        <v>426</v>
      </c>
      <c r="B1287" s="6" t="str">
        <f>"67002"</f>
        <v>67002</v>
      </c>
      <c r="C1287" s="1" t="s">
        <v>6</v>
      </c>
      <c r="D1287" s="1" t="s">
        <v>427</v>
      </c>
      <c r="E1287" s="6" t="str">
        <f>"001A"</f>
        <v>001A</v>
      </c>
      <c r="F1287" s="6">
        <v>2014</v>
      </c>
      <c r="G1287" s="7">
        <v>363309400</v>
      </c>
      <c r="H1287" s="7">
        <v>62972100</v>
      </c>
      <c r="I1287" s="7">
        <v>300337300</v>
      </c>
    </row>
    <row r="1288" spans="1:9" x14ac:dyDescent="0.2">
      <c r="A1288" s="1" t="s">
        <v>426</v>
      </c>
      <c r="B1288" s="6" t="str">
        <f>"67022"</f>
        <v>67022</v>
      </c>
      <c r="C1288" s="1" t="s">
        <v>6</v>
      </c>
      <c r="D1288" s="1" t="s">
        <v>428</v>
      </c>
      <c r="E1288" s="6" t="str">
        <f>"001A"</f>
        <v>001A</v>
      </c>
      <c r="F1288" s="6">
        <v>2021</v>
      </c>
      <c r="G1288" s="7">
        <v>45620100</v>
      </c>
      <c r="H1288" s="7">
        <v>24127600</v>
      </c>
      <c r="I1288" s="7">
        <v>21492500</v>
      </c>
    </row>
    <row r="1289" spans="1:9" x14ac:dyDescent="0.2">
      <c r="A1289" s="1" t="s">
        <v>426</v>
      </c>
      <c r="B1289" s="6" t="str">
        <f>"67106"</f>
        <v>67106</v>
      </c>
      <c r="C1289" s="1" t="s">
        <v>12</v>
      </c>
      <c r="D1289" s="1" t="s">
        <v>429</v>
      </c>
      <c r="E1289" s="6" t="str">
        <f>"001"</f>
        <v>001</v>
      </c>
      <c r="F1289" s="6">
        <v>2013</v>
      </c>
      <c r="G1289" s="7">
        <v>18662900</v>
      </c>
      <c r="H1289" s="7">
        <v>14680600</v>
      </c>
      <c r="I1289" s="7">
        <v>3982300</v>
      </c>
    </row>
    <row r="1290" spans="1:9" x14ac:dyDescent="0.2">
      <c r="A1290" s="1" t="s">
        <v>426</v>
      </c>
      <c r="B1290" s="6" t="str">
        <f>"67116"</f>
        <v>67116</v>
      </c>
      <c r="C1290" s="1" t="s">
        <v>12</v>
      </c>
      <c r="D1290" s="1" t="s">
        <v>430</v>
      </c>
      <c r="E1290" s="6" t="str">
        <f>"002"</f>
        <v>002</v>
      </c>
      <c r="F1290" s="6">
        <v>2024</v>
      </c>
      <c r="G1290" s="7">
        <v>25771000</v>
      </c>
      <c r="H1290" s="7">
        <v>24730900</v>
      </c>
      <c r="I1290" s="7">
        <v>1040100</v>
      </c>
    </row>
    <row r="1291" spans="1:9" x14ac:dyDescent="0.2">
      <c r="A1291" s="1" t="s">
        <v>426</v>
      </c>
      <c r="B1291" s="6" t="str">
        <f>"67122"</f>
        <v>67122</v>
      </c>
      <c r="C1291" s="1" t="s">
        <v>12</v>
      </c>
      <c r="D1291" s="1" t="s">
        <v>431</v>
      </c>
      <c r="E1291" s="6" t="str">
        <f>"002"</f>
        <v>002</v>
      </c>
      <c r="F1291" s="6">
        <v>2004</v>
      </c>
      <c r="G1291" s="7">
        <v>91448000</v>
      </c>
      <c r="H1291" s="7">
        <v>31015600</v>
      </c>
      <c r="I1291" s="7">
        <v>60432400</v>
      </c>
    </row>
    <row r="1292" spans="1:9" x14ac:dyDescent="0.2">
      <c r="A1292" s="1" t="s">
        <v>426</v>
      </c>
      <c r="B1292" s="6" t="str">
        <f>"67122"</f>
        <v>67122</v>
      </c>
      <c r="C1292" s="1" t="s">
        <v>12</v>
      </c>
      <c r="D1292" s="1" t="s">
        <v>431</v>
      </c>
      <c r="E1292" s="6" t="str">
        <f>"003"</f>
        <v>003</v>
      </c>
      <c r="F1292" s="6">
        <v>2022</v>
      </c>
      <c r="G1292" s="7">
        <v>88626900</v>
      </c>
      <c r="H1292" s="7">
        <v>12482100</v>
      </c>
      <c r="I1292" s="7">
        <v>76144800</v>
      </c>
    </row>
    <row r="1293" spans="1:9" x14ac:dyDescent="0.2">
      <c r="A1293" s="1" t="s">
        <v>426</v>
      </c>
      <c r="B1293" s="6" t="str">
        <f>"67136"</f>
        <v>67136</v>
      </c>
      <c r="C1293" s="1" t="s">
        <v>12</v>
      </c>
      <c r="D1293" s="1" t="s">
        <v>432</v>
      </c>
      <c r="E1293" s="6" t="str">
        <f>"004"</f>
        <v>004</v>
      </c>
      <c r="F1293" s="6">
        <v>2008</v>
      </c>
      <c r="G1293" s="7">
        <v>3157900</v>
      </c>
      <c r="H1293" s="7">
        <v>1018300</v>
      </c>
      <c r="I1293" s="7">
        <v>2139600</v>
      </c>
    </row>
    <row r="1294" spans="1:9" x14ac:dyDescent="0.2">
      <c r="A1294" s="1" t="s">
        <v>426</v>
      </c>
      <c r="B1294" s="6" t="str">
        <f>"67136"</f>
        <v>67136</v>
      </c>
      <c r="C1294" s="1" t="s">
        <v>12</v>
      </c>
      <c r="D1294" s="1" t="s">
        <v>432</v>
      </c>
      <c r="E1294" s="6" t="str">
        <f>"006"</f>
        <v>006</v>
      </c>
      <c r="F1294" s="6">
        <v>2015</v>
      </c>
      <c r="G1294" s="7">
        <v>18057700</v>
      </c>
      <c r="H1294" s="7">
        <v>1330300</v>
      </c>
      <c r="I1294" s="7">
        <v>16727400</v>
      </c>
    </row>
    <row r="1295" spans="1:9" x14ac:dyDescent="0.2">
      <c r="A1295" s="1" t="s">
        <v>426</v>
      </c>
      <c r="B1295" s="6" t="str">
        <f>"67136"</f>
        <v>67136</v>
      </c>
      <c r="C1295" s="1" t="s">
        <v>12</v>
      </c>
      <c r="D1295" s="1" t="s">
        <v>432</v>
      </c>
      <c r="E1295" s="6" t="str">
        <f>"007"</f>
        <v>007</v>
      </c>
      <c r="F1295" s="6">
        <v>2024</v>
      </c>
      <c r="G1295" s="7">
        <v>6537800</v>
      </c>
      <c r="H1295" s="7">
        <v>3463600</v>
      </c>
      <c r="I1295" s="7">
        <v>3074200</v>
      </c>
    </row>
    <row r="1296" spans="1:9" x14ac:dyDescent="0.2">
      <c r="A1296" s="1" t="s">
        <v>426</v>
      </c>
      <c r="B1296" s="6" t="str">
        <f>"67147"</f>
        <v>67147</v>
      </c>
      <c r="C1296" s="1" t="s">
        <v>12</v>
      </c>
      <c r="D1296" s="1" t="s">
        <v>433</v>
      </c>
      <c r="E1296" s="6" t="str">
        <f>"001"</f>
        <v>001</v>
      </c>
      <c r="F1296" s="6">
        <v>2018</v>
      </c>
      <c r="G1296" s="7">
        <v>151147200</v>
      </c>
      <c r="H1296" s="7">
        <v>10681500</v>
      </c>
      <c r="I1296" s="7">
        <v>140465700</v>
      </c>
    </row>
    <row r="1297" spans="1:9" x14ac:dyDescent="0.2">
      <c r="A1297" s="1" t="s">
        <v>426</v>
      </c>
      <c r="B1297" s="6" t="str">
        <f>"67147"</f>
        <v>67147</v>
      </c>
      <c r="C1297" s="1" t="s">
        <v>12</v>
      </c>
      <c r="D1297" s="1" t="s">
        <v>433</v>
      </c>
      <c r="E1297" s="6" t="str">
        <f>"002"</f>
        <v>002</v>
      </c>
      <c r="F1297" s="6">
        <v>2018</v>
      </c>
      <c r="G1297" s="7">
        <v>42124700</v>
      </c>
      <c r="H1297" s="7">
        <v>13054900</v>
      </c>
      <c r="I1297" s="7">
        <v>29069800</v>
      </c>
    </row>
    <row r="1298" spans="1:9" x14ac:dyDescent="0.2">
      <c r="A1298" s="1" t="s">
        <v>426</v>
      </c>
      <c r="B1298" s="6" t="str">
        <f>"67149"</f>
        <v>67149</v>
      </c>
      <c r="C1298" s="1" t="s">
        <v>12</v>
      </c>
      <c r="D1298" s="1" t="s">
        <v>434</v>
      </c>
      <c r="E1298" s="6" t="str">
        <f>"001"</f>
        <v>001</v>
      </c>
      <c r="F1298" s="6">
        <v>2019</v>
      </c>
      <c r="G1298" s="7">
        <v>56257000</v>
      </c>
      <c r="H1298" s="7">
        <v>899100</v>
      </c>
      <c r="I1298" s="7">
        <v>55357900</v>
      </c>
    </row>
    <row r="1299" spans="1:9" x14ac:dyDescent="0.2">
      <c r="A1299" s="1" t="s">
        <v>426</v>
      </c>
      <c r="B1299" s="6" t="str">
        <f t="shared" ref="B1299:B1311" si="52">"67151"</f>
        <v>67151</v>
      </c>
      <c r="C1299" s="1" t="s">
        <v>12</v>
      </c>
      <c r="D1299" s="1" t="s">
        <v>435</v>
      </c>
      <c r="E1299" s="6" t="str">
        <f>"006"</f>
        <v>006</v>
      </c>
      <c r="F1299" s="6">
        <v>2006</v>
      </c>
      <c r="G1299" s="7">
        <v>117972300</v>
      </c>
      <c r="H1299" s="7">
        <v>46797500</v>
      </c>
      <c r="I1299" s="7">
        <v>71174800</v>
      </c>
    </row>
    <row r="1300" spans="1:9" x14ac:dyDescent="0.2">
      <c r="A1300" s="1" t="s">
        <v>426</v>
      </c>
      <c r="B1300" s="6" t="str">
        <f t="shared" si="52"/>
        <v>67151</v>
      </c>
      <c r="C1300" s="1" t="s">
        <v>12</v>
      </c>
      <c r="D1300" s="1" t="s">
        <v>435</v>
      </c>
      <c r="E1300" s="6" t="str">
        <f>"007"</f>
        <v>007</v>
      </c>
      <c r="F1300" s="6">
        <v>2008</v>
      </c>
      <c r="G1300" s="7">
        <v>49853300</v>
      </c>
      <c r="H1300" s="7">
        <v>1028100</v>
      </c>
      <c r="I1300" s="7">
        <v>48825200</v>
      </c>
    </row>
    <row r="1301" spans="1:9" x14ac:dyDescent="0.2">
      <c r="A1301" s="1" t="s">
        <v>426</v>
      </c>
      <c r="B1301" s="6" t="str">
        <f t="shared" si="52"/>
        <v>67151</v>
      </c>
      <c r="C1301" s="1" t="s">
        <v>12</v>
      </c>
      <c r="D1301" s="1" t="s">
        <v>435</v>
      </c>
      <c r="E1301" s="6" t="str">
        <f>"008"</f>
        <v>008</v>
      </c>
      <c r="F1301" s="6">
        <v>2008</v>
      </c>
      <c r="G1301" s="7">
        <v>193829400</v>
      </c>
      <c r="H1301" s="7">
        <v>19443200</v>
      </c>
      <c r="I1301" s="7">
        <v>174386200</v>
      </c>
    </row>
    <row r="1302" spans="1:9" x14ac:dyDescent="0.2">
      <c r="A1302" s="1" t="s">
        <v>426</v>
      </c>
      <c r="B1302" s="6" t="str">
        <f t="shared" si="52"/>
        <v>67151</v>
      </c>
      <c r="C1302" s="1" t="s">
        <v>12</v>
      </c>
      <c r="D1302" s="1" t="s">
        <v>435</v>
      </c>
      <c r="E1302" s="6" t="str">
        <f>"009"</f>
        <v>009</v>
      </c>
      <c r="F1302" s="6">
        <v>2010</v>
      </c>
      <c r="G1302" s="7">
        <v>200873800</v>
      </c>
      <c r="H1302" s="7">
        <v>99823400</v>
      </c>
      <c r="I1302" s="7">
        <v>101050400</v>
      </c>
    </row>
    <row r="1303" spans="1:9" x14ac:dyDescent="0.2">
      <c r="A1303" s="1" t="s">
        <v>426</v>
      </c>
      <c r="B1303" s="6" t="str">
        <f t="shared" si="52"/>
        <v>67151</v>
      </c>
      <c r="C1303" s="1" t="s">
        <v>12</v>
      </c>
      <c r="D1303" s="1" t="s">
        <v>435</v>
      </c>
      <c r="E1303" s="6" t="str">
        <f>"010"</f>
        <v>010</v>
      </c>
      <c r="F1303" s="6">
        <v>2011</v>
      </c>
      <c r="G1303" s="7">
        <v>152941000</v>
      </c>
      <c r="H1303" s="7">
        <v>43700700</v>
      </c>
      <c r="I1303" s="7">
        <v>109240300</v>
      </c>
    </row>
    <row r="1304" spans="1:9" x14ac:dyDescent="0.2">
      <c r="A1304" s="1" t="s">
        <v>426</v>
      </c>
      <c r="B1304" s="6" t="str">
        <f t="shared" si="52"/>
        <v>67151</v>
      </c>
      <c r="C1304" s="1" t="s">
        <v>12</v>
      </c>
      <c r="D1304" s="1" t="s">
        <v>435</v>
      </c>
      <c r="E1304" s="6" t="str">
        <f>"011"</f>
        <v>011</v>
      </c>
      <c r="F1304" s="6">
        <v>2011</v>
      </c>
      <c r="G1304" s="7">
        <v>14544000</v>
      </c>
      <c r="H1304" s="7">
        <v>10815900</v>
      </c>
      <c r="I1304" s="7">
        <v>3728100</v>
      </c>
    </row>
    <row r="1305" spans="1:9" x14ac:dyDescent="0.2">
      <c r="A1305" s="1" t="s">
        <v>426</v>
      </c>
      <c r="B1305" s="6" t="str">
        <f t="shared" si="52"/>
        <v>67151</v>
      </c>
      <c r="C1305" s="1" t="s">
        <v>12</v>
      </c>
      <c r="D1305" s="1" t="s">
        <v>435</v>
      </c>
      <c r="E1305" s="6" t="str">
        <f>"012"</f>
        <v>012</v>
      </c>
      <c r="F1305" s="6">
        <v>2014</v>
      </c>
      <c r="G1305" s="7">
        <v>66630100</v>
      </c>
      <c r="H1305" s="7">
        <v>5083400</v>
      </c>
      <c r="I1305" s="7">
        <v>61546700</v>
      </c>
    </row>
    <row r="1306" spans="1:9" x14ac:dyDescent="0.2">
      <c r="A1306" s="1" t="s">
        <v>426</v>
      </c>
      <c r="B1306" s="6" t="str">
        <f t="shared" si="52"/>
        <v>67151</v>
      </c>
      <c r="C1306" s="1" t="s">
        <v>12</v>
      </c>
      <c r="D1306" s="1" t="s">
        <v>435</v>
      </c>
      <c r="E1306" s="6" t="str">
        <f>"013"</f>
        <v>013</v>
      </c>
      <c r="F1306" s="6">
        <v>2019</v>
      </c>
      <c r="G1306" s="7">
        <v>51569800</v>
      </c>
      <c r="H1306" s="7">
        <v>2688200</v>
      </c>
      <c r="I1306" s="7">
        <v>48881600</v>
      </c>
    </row>
    <row r="1307" spans="1:9" x14ac:dyDescent="0.2">
      <c r="A1307" s="1" t="s">
        <v>426</v>
      </c>
      <c r="B1307" s="6" t="str">
        <f t="shared" si="52"/>
        <v>67151</v>
      </c>
      <c r="C1307" s="1" t="s">
        <v>12</v>
      </c>
      <c r="D1307" s="1" t="s">
        <v>435</v>
      </c>
      <c r="E1307" s="6" t="str">
        <f>"014"</f>
        <v>014</v>
      </c>
      <c r="F1307" s="6">
        <v>2019</v>
      </c>
      <c r="G1307" s="7">
        <v>16378700</v>
      </c>
      <c r="H1307" s="7">
        <v>8884900</v>
      </c>
      <c r="I1307" s="7">
        <v>7493800</v>
      </c>
    </row>
    <row r="1308" spans="1:9" x14ac:dyDescent="0.2">
      <c r="A1308" s="1" t="s">
        <v>426</v>
      </c>
      <c r="B1308" s="6" t="str">
        <f t="shared" si="52"/>
        <v>67151</v>
      </c>
      <c r="C1308" s="1" t="s">
        <v>12</v>
      </c>
      <c r="D1308" s="1" t="s">
        <v>435</v>
      </c>
      <c r="E1308" s="6" t="str">
        <f>"015"</f>
        <v>015</v>
      </c>
      <c r="F1308" s="6">
        <v>2022</v>
      </c>
      <c r="G1308" s="7">
        <v>40123200</v>
      </c>
      <c r="H1308" s="7">
        <v>724700</v>
      </c>
      <c r="I1308" s="7">
        <v>39398500</v>
      </c>
    </row>
    <row r="1309" spans="1:9" x14ac:dyDescent="0.2">
      <c r="A1309" s="1" t="s">
        <v>426</v>
      </c>
      <c r="B1309" s="6" t="str">
        <f t="shared" si="52"/>
        <v>67151</v>
      </c>
      <c r="C1309" s="1" t="s">
        <v>12</v>
      </c>
      <c r="D1309" s="1" t="s">
        <v>435</v>
      </c>
      <c r="E1309" s="6" t="str">
        <f>"016"</f>
        <v>016</v>
      </c>
      <c r="F1309" s="6">
        <v>2023</v>
      </c>
      <c r="G1309" s="7">
        <v>22011400</v>
      </c>
      <c r="H1309" s="7">
        <v>12554000</v>
      </c>
      <c r="I1309" s="7">
        <v>9457400</v>
      </c>
    </row>
    <row r="1310" spans="1:9" x14ac:dyDescent="0.2">
      <c r="A1310" s="1" t="s">
        <v>426</v>
      </c>
      <c r="B1310" s="6" t="str">
        <f t="shared" si="52"/>
        <v>67151</v>
      </c>
      <c r="C1310" s="1" t="s">
        <v>12</v>
      </c>
      <c r="D1310" s="1" t="s">
        <v>435</v>
      </c>
      <c r="E1310" s="6" t="str">
        <f>"017"</f>
        <v>017</v>
      </c>
      <c r="F1310" s="6">
        <v>2024</v>
      </c>
      <c r="G1310" s="7">
        <v>10969700</v>
      </c>
      <c r="H1310" s="7">
        <v>25118600</v>
      </c>
      <c r="I1310" s="7">
        <v>-14148900</v>
      </c>
    </row>
    <row r="1311" spans="1:9" x14ac:dyDescent="0.2">
      <c r="A1311" s="1" t="s">
        <v>426</v>
      </c>
      <c r="B1311" s="6" t="str">
        <f t="shared" si="52"/>
        <v>67151</v>
      </c>
      <c r="C1311" s="1" t="s">
        <v>12</v>
      </c>
      <c r="D1311" s="1" t="s">
        <v>435</v>
      </c>
      <c r="E1311" s="6" t="str">
        <f>"018"</f>
        <v>018</v>
      </c>
      <c r="F1311" s="6">
        <v>2024</v>
      </c>
      <c r="G1311" s="7">
        <v>0</v>
      </c>
      <c r="H1311" s="7">
        <v>732300</v>
      </c>
      <c r="I1311" s="7">
        <v>-732300</v>
      </c>
    </row>
    <row r="1312" spans="1:9" x14ac:dyDescent="0.2">
      <c r="A1312" s="1" t="s">
        <v>426</v>
      </c>
      <c r="B1312" s="6" t="str">
        <f>"67153"</f>
        <v>67153</v>
      </c>
      <c r="C1312" s="1" t="s">
        <v>12</v>
      </c>
      <c r="D1312" s="1" t="s">
        <v>413</v>
      </c>
      <c r="E1312" s="6" t="str">
        <f>"003"</f>
        <v>003</v>
      </c>
      <c r="F1312" s="6">
        <v>2003</v>
      </c>
      <c r="G1312" s="7">
        <v>67095700</v>
      </c>
      <c r="H1312" s="7">
        <v>2389500</v>
      </c>
      <c r="I1312" s="7">
        <v>64706200</v>
      </c>
    </row>
    <row r="1313" spans="1:9" x14ac:dyDescent="0.2">
      <c r="A1313" s="1" t="s">
        <v>426</v>
      </c>
      <c r="B1313" s="6" t="str">
        <f>"67153"</f>
        <v>67153</v>
      </c>
      <c r="C1313" s="1" t="s">
        <v>12</v>
      </c>
      <c r="D1313" s="1" t="s">
        <v>413</v>
      </c>
      <c r="E1313" s="6" t="str">
        <f>"004"</f>
        <v>004</v>
      </c>
      <c r="F1313" s="6">
        <v>2017</v>
      </c>
      <c r="G1313" s="7">
        <v>30931100</v>
      </c>
      <c r="H1313" s="7">
        <v>6090500</v>
      </c>
      <c r="I1313" s="7">
        <v>24840600</v>
      </c>
    </row>
    <row r="1314" spans="1:9" x14ac:dyDescent="0.2">
      <c r="A1314" s="1" t="s">
        <v>426</v>
      </c>
      <c r="B1314" s="6" t="str">
        <f>"67153"</f>
        <v>67153</v>
      </c>
      <c r="C1314" s="1" t="s">
        <v>12</v>
      </c>
      <c r="D1314" s="1" t="s">
        <v>413</v>
      </c>
      <c r="E1314" s="6" t="str">
        <f>"006"</f>
        <v>006</v>
      </c>
      <c r="F1314" s="6">
        <v>2023</v>
      </c>
      <c r="G1314" s="7">
        <v>846300</v>
      </c>
      <c r="H1314" s="7">
        <v>846300</v>
      </c>
      <c r="I1314" s="7">
        <v>0</v>
      </c>
    </row>
    <row r="1315" spans="1:9" x14ac:dyDescent="0.2">
      <c r="A1315" s="1" t="s">
        <v>426</v>
      </c>
      <c r="B1315" s="6" t="str">
        <f>"67171"</f>
        <v>67171</v>
      </c>
      <c r="C1315" s="1" t="s">
        <v>12</v>
      </c>
      <c r="D1315" s="1" t="s">
        <v>436</v>
      </c>
      <c r="E1315" s="6" t="str">
        <f>"002"</f>
        <v>002</v>
      </c>
      <c r="F1315" s="6">
        <v>2014</v>
      </c>
      <c r="G1315" s="7">
        <v>23740600</v>
      </c>
      <c r="H1315" s="7">
        <v>8302800</v>
      </c>
      <c r="I1315" s="7">
        <v>15437800</v>
      </c>
    </row>
    <row r="1316" spans="1:9" x14ac:dyDescent="0.2">
      <c r="A1316" s="1" t="s">
        <v>426</v>
      </c>
      <c r="B1316" s="6" t="str">
        <f>"67171"</f>
        <v>67171</v>
      </c>
      <c r="C1316" s="1" t="s">
        <v>12</v>
      </c>
      <c r="D1316" s="1" t="s">
        <v>436</v>
      </c>
      <c r="E1316" s="6" t="str">
        <f>"003"</f>
        <v>003</v>
      </c>
      <c r="F1316" s="6">
        <v>2021</v>
      </c>
      <c r="G1316" s="7">
        <v>26211200</v>
      </c>
      <c r="H1316" s="7">
        <v>0</v>
      </c>
      <c r="I1316" s="7">
        <v>26211200</v>
      </c>
    </row>
    <row r="1317" spans="1:9" x14ac:dyDescent="0.2">
      <c r="A1317" s="1" t="s">
        <v>426</v>
      </c>
      <c r="B1317" s="6" t="str">
        <f>"67171"</f>
        <v>67171</v>
      </c>
      <c r="C1317" s="1" t="s">
        <v>12</v>
      </c>
      <c r="D1317" s="1" t="s">
        <v>436</v>
      </c>
      <c r="E1317" s="6" t="str">
        <f>"004"</f>
        <v>004</v>
      </c>
      <c r="F1317" s="6">
        <v>2022</v>
      </c>
      <c r="G1317" s="7">
        <v>9729200</v>
      </c>
      <c r="H1317" s="7">
        <v>733700</v>
      </c>
      <c r="I1317" s="7">
        <v>8995500</v>
      </c>
    </row>
    <row r="1318" spans="1:9" x14ac:dyDescent="0.2">
      <c r="A1318" s="1" t="s">
        <v>426</v>
      </c>
      <c r="B1318" s="6" t="str">
        <f>"67181"</f>
        <v>67181</v>
      </c>
      <c r="C1318" s="1" t="s">
        <v>12</v>
      </c>
      <c r="D1318" s="1" t="s">
        <v>437</v>
      </c>
      <c r="E1318" s="6" t="str">
        <f>"006"</f>
        <v>006</v>
      </c>
      <c r="F1318" s="6">
        <v>2013</v>
      </c>
      <c r="G1318" s="7">
        <v>117936000</v>
      </c>
      <c r="H1318" s="7">
        <v>22863000</v>
      </c>
      <c r="I1318" s="7">
        <v>95073000</v>
      </c>
    </row>
    <row r="1319" spans="1:9" x14ac:dyDescent="0.2">
      <c r="A1319" s="1" t="s">
        <v>426</v>
      </c>
      <c r="B1319" s="6" t="str">
        <f>"67181"</f>
        <v>67181</v>
      </c>
      <c r="C1319" s="1" t="s">
        <v>12</v>
      </c>
      <c r="D1319" s="1" t="s">
        <v>437</v>
      </c>
      <c r="E1319" s="6" t="str">
        <f>"007"</f>
        <v>007</v>
      </c>
      <c r="F1319" s="6">
        <v>2018</v>
      </c>
      <c r="G1319" s="7">
        <v>75208200</v>
      </c>
      <c r="H1319" s="7">
        <v>327300</v>
      </c>
      <c r="I1319" s="7">
        <v>74880900</v>
      </c>
    </row>
    <row r="1320" spans="1:9" x14ac:dyDescent="0.2">
      <c r="A1320" s="1" t="s">
        <v>426</v>
      </c>
      <c r="B1320" s="6" t="str">
        <f>"67191"</f>
        <v>67191</v>
      </c>
      <c r="C1320" s="1" t="s">
        <v>12</v>
      </c>
      <c r="D1320" s="1" t="s">
        <v>438</v>
      </c>
      <c r="E1320" s="6" t="str">
        <f>"001"</f>
        <v>001</v>
      </c>
      <c r="F1320" s="6">
        <v>2006</v>
      </c>
      <c r="G1320" s="7">
        <v>85689000</v>
      </c>
      <c r="H1320" s="7">
        <v>23181500</v>
      </c>
      <c r="I1320" s="7">
        <v>62507500</v>
      </c>
    </row>
    <row r="1321" spans="1:9" x14ac:dyDescent="0.2">
      <c r="A1321" s="1" t="s">
        <v>426</v>
      </c>
      <c r="B1321" s="6" t="str">
        <f>"67195"</f>
        <v>67195</v>
      </c>
      <c r="C1321" s="1" t="s">
        <v>12</v>
      </c>
      <c r="D1321" s="1" t="s">
        <v>426</v>
      </c>
      <c r="E1321" s="6" t="str">
        <f>"001"</f>
        <v>001</v>
      </c>
      <c r="F1321" s="6">
        <v>2020</v>
      </c>
      <c r="G1321" s="7">
        <v>26380100</v>
      </c>
      <c r="H1321" s="7">
        <v>21259700</v>
      </c>
      <c r="I1321" s="7">
        <v>5120400</v>
      </c>
    </row>
    <row r="1322" spans="1:9" x14ac:dyDescent="0.2">
      <c r="A1322" s="1" t="s">
        <v>426</v>
      </c>
      <c r="B1322" s="6" t="str">
        <f>"67206"</f>
        <v>67206</v>
      </c>
      <c r="C1322" s="1" t="s">
        <v>8</v>
      </c>
      <c r="D1322" s="1" t="s">
        <v>427</v>
      </c>
      <c r="E1322" s="6" t="str">
        <f>"004"</f>
        <v>004</v>
      </c>
      <c r="F1322" s="6">
        <v>2015</v>
      </c>
      <c r="G1322" s="7">
        <v>2252100</v>
      </c>
      <c r="H1322" s="7">
        <v>158800</v>
      </c>
      <c r="I1322" s="7">
        <v>2093300</v>
      </c>
    </row>
    <row r="1323" spans="1:9" x14ac:dyDescent="0.2">
      <c r="A1323" s="1" t="s">
        <v>426</v>
      </c>
      <c r="B1323" s="6" t="str">
        <f>"67206"</f>
        <v>67206</v>
      </c>
      <c r="C1323" s="1" t="s">
        <v>8</v>
      </c>
      <c r="D1323" s="1" t="s">
        <v>427</v>
      </c>
      <c r="E1323" s="6" t="str">
        <f>"006"</f>
        <v>006</v>
      </c>
      <c r="F1323" s="6">
        <v>2016</v>
      </c>
      <c r="G1323" s="7">
        <v>46249900</v>
      </c>
      <c r="H1323" s="7">
        <v>9008300</v>
      </c>
      <c r="I1323" s="7">
        <v>37241600</v>
      </c>
    </row>
    <row r="1324" spans="1:9" x14ac:dyDescent="0.2">
      <c r="A1324" s="1" t="s">
        <v>426</v>
      </c>
      <c r="B1324" s="6" t="str">
        <f>"67206"</f>
        <v>67206</v>
      </c>
      <c r="C1324" s="1" t="s">
        <v>8</v>
      </c>
      <c r="D1324" s="1" t="s">
        <v>427</v>
      </c>
      <c r="E1324" s="6" t="str">
        <f>"007"</f>
        <v>007</v>
      </c>
      <c r="F1324" s="6">
        <v>2018</v>
      </c>
      <c r="G1324" s="7">
        <v>23401100</v>
      </c>
      <c r="H1324" s="7">
        <v>660600</v>
      </c>
      <c r="I1324" s="7">
        <v>22740500</v>
      </c>
    </row>
    <row r="1325" spans="1:9" x14ac:dyDescent="0.2">
      <c r="A1325" s="1" t="s">
        <v>426</v>
      </c>
      <c r="B1325" s="6" t="str">
        <f>"67206"</f>
        <v>67206</v>
      </c>
      <c r="C1325" s="1" t="s">
        <v>8</v>
      </c>
      <c r="D1325" s="1" t="s">
        <v>427</v>
      </c>
      <c r="E1325" s="6" t="str">
        <f>"008"</f>
        <v>008</v>
      </c>
      <c r="F1325" s="6">
        <v>2018</v>
      </c>
      <c r="G1325" s="7">
        <v>70021300</v>
      </c>
      <c r="H1325" s="7">
        <v>26528200</v>
      </c>
      <c r="I1325" s="7">
        <v>43493100</v>
      </c>
    </row>
    <row r="1326" spans="1:9" x14ac:dyDescent="0.2">
      <c r="A1326" s="1" t="s">
        <v>426</v>
      </c>
      <c r="B1326" s="6" t="str">
        <f>"67251"</f>
        <v>67251</v>
      </c>
      <c r="C1326" s="1" t="s">
        <v>8</v>
      </c>
      <c r="D1326" s="1" t="s">
        <v>439</v>
      </c>
      <c r="E1326" s="6" t="str">
        <f>"010"</f>
        <v>010</v>
      </c>
      <c r="F1326" s="6">
        <v>2008</v>
      </c>
      <c r="G1326" s="7">
        <v>115105900</v>
      </c>
      <c r="H1326" s="7">
        <v>1150600</v>
      </c>
      <c r="I1326" s="7">
        <v>113955300</v>
      </c>
    </row>
    <row r="1327" spans="1:9" x14ac:dyDescent="0.2">
      <c r="A1327" s="1" t="s">
        <v>426</v>
      </c>
      <c r="B1327" s="6" t="str">
        <f>"67251"</f>
        <v>67251</v>
      </c>
      <c r="C1327" s="1" t="s">
        <v>8</v>
      </c>
      <c r="D1327" s="1" t="s">
        <v>439</v>
      </c>
      <c r="E1327" s="6" t="str">
        <f>"011"</f>
        <v>011</v>
      </c>
      <c r="F1327" s="6">
        <v>2016</v>
      </c>
      <c r="G1327" s="7">
        <v>35019400</v>
      </c>
      <c r="H1327" s="7">
        <v>2400</v>
      </c>
      <c r="I1327" s="7">
        <v>35017000</v>
      </c>
    </row>
    <row r="1328" spans="1:9" x14ac:dyDescent="0.2">
      <c r="A1328" s="1" t="s">
        <v>426</v>
      </c>
      <c r="B1328" s="6" t="str">
        <f>"67261"</f>
        <v>67261</v>
      </c>
      <c r="C1328" s="1" t="s">
        <v>8</v>
      </c>
      <c r="D1328" s="1" t="s">
        <v>440</v>
      </c>
      <c r="E1328" s="6" t="str">
        <f>"003"</f>
        <v>003</v>
      </c>
      <c r="F1328" s="6">
        <v>2018</v>
      </c>
      <c r="G1328" s="7">
        <v>43604900</v>
      </c>
      <c r="H1328" s="7">
        <v>729000</v>
      </c>
      <c r="I1328" s="7">
        <v>42875900</v>
      </c>
    </row>
    <row r="1329" spans="1:9" x14ac:dyDescent="0.2">
      <c r="A1329" s="1" t="s">
        <v>426</v>
      </c>
      <c r="B1329" s="6" t="str">
        <f>"67261"</f>
        <v>67261</v>
      </c>
      <c r="C1329" s="1" t="s">
        <v>8</v>
      </c>
      <c r="D1329" s="1" t="s">
        <v>440</v>
      </c>
      <c r="E1329" s="6" t="str">
        <f>"004"</f>
        <v>004</v>
      </c>
      <c r="F1329" s="6">
        <v>2020</v>
      </c>
      <c r="G1329" s="7">
        <v>18936900</v>
      </c>
      <c r="H1329" s="7">
        <v>12453500</v>
      </c>
      <c r="I1329" s="7">
        <v>6483400</v>
      </c>
    </row>
    <row r="1330" spans="1:9" x14ac:dyDescent="0.2">
      <c r="A1330" s="1" t="s">
        <v>426</v>
      </c>
      <c r="B1330" s="6" t="str">
        <f>"67261"</f>
        <v>67261</v>
      </c>
      <c r="C1330" s="1" t="s">
        <v>8</v>
      </c>
      <c r="D1330" s="1" t="s">
        <v>440</v>
      </c>
      <c r="E1330" s="6" t="str">
        <f>"005"</f>
        <v>005</v>
      </c>
      <c r="F1330" s="6">
        <v>2022</v>
      </c>
      <c r="G1330" s="7">
        <v>97514400</v>
      </c>
      <c r="H1330" s="7">
        <v>2419700</v>
      </c>
      <c r="I1330" s="7">
        <v>95094700</v>
      </c>
    </row>
    <row r="1331" spans="1:9" x14ac:dyDescent="0.2">
      <c r="A1331" s="1" t="s">
        <v>426</v>
      </c>
      <c r="B1331" s="6" t="str">
        <f>"67265"</f>
        <v>67265</v>
      </c>
      <c r="C1331" s="1" t="s">
        <v>8</v>
      </c>
      <c r="D1331" s="1" t="s">
        <v>428</v>
      </c>
      <c r="E1331" s="6" t="str">
        <f>"004"</f>
        <v>004</v>
      </c>
      <c r="F1331" s="6">
        <v>2003</v>
      </c>
      <c r="G1331" s="7">
        <v>100389200</v>
      </c>
      <c r="H1331" s="7">
        <v>47434300</v>
      </c>
      <c r="I1331" s="7">
        <v>52954900</v>
      </c>
    </row>
    <row r="1332" spans="1:9" x14ac:dyDescent="0.2">
      <c r="A1332" s="1" t="s">
        <v>426</v>
      </c>
      <c r="B1332" s="6" t="str">
        <f>"67265"</f>
        <v>67265</v>
      </c>
      <c r="C1332" s="1" t="s">
        <v>8</v>
      </c>
      <c r="D1332" s="1" t="s">
        <v>428</v>
      </c>
      <c r="E1332" s="6" t="str">
        <f>"005"</f>
        <v>005</v>
      </c>
      <c r="F1332" s="6">
        <v>2017</v>
      </c>
      <c r="G1332" s="7">
        <v>87876200</v>
      </c>
      <c r="H1332" s="7">
        <v>6019700</v>
      </c>
      <c r="I1332" s="7">
        <v>81856500</v>
      </c>
    </row>
    <row r="1333" spans="1:9" x14ac:dyDescent="0.2">
      <c r="A1333" s="1" t="s">
        <v>426</v>
      </c>
      <c r="B1333" s="6" t="str">
        <f>"67265"</f>
        <v>67265</v>
      </c>
      <c r="C1333" s="1" t="s">
        <v>8</v>
      </c>
      <c r="D1333" s="1" t="s">
        <v>428</v>
      </c>
      <c r="E1333" s="6" t="str">
        <f>"006"</f>
        <v>006</v>
      </c>
      <c r="F1333" s="6">
        <v>2017</v>
      </c>
      <c r="G1333" s="7">
        <v>45600600</v>
      </c>
      <c r="H1333" s="7">
        <v>1801800</v>
      </c>
      <c r="I1333" s="7">
        <v>43798800</v>
      </c>
    </row>
    <row r="1334" spans="1:9" x14ac:dyDescent="0.2">
      <c r="A1334" s="1" t="s">
        <v>426</v>
      </c>
      <c r="B1334" s="6" t="str">
        <f>"67265"</f>
        <v>67265</v>
      </c>
      <c r="C1334" s="1" t="s">
        <v>8</v>
      </c>
      <c r="D1334" s="1" t="s">
        <v>428</v>
      </c>
      <c r="E1334" s="6" t="str">
        <f>"007"</f>
        <v>007</v>
      </c>
      <c r="F1334" s="6">
        <v>2021</v>
      </c>
      <c r="G1334" s="7">
        <v>123770000</v>
      </c>
      <c r="H1334" s="7">
        <v>20430900</v>
      </c>
      <c r="I1334" s="7">
        <v>103339100</v>
      </c>
    </row>
    <row r="1335" spans="1:9" x14ac:dyDescent="0.2">
      <c r="A1335" s="1" t="s">
        <v>426</v>
      </c>
      <c r="B1335" s="6" t="str">
        <f>"67265"</f>
        <v>67265</v>
      </c>
      <c r="C1335" s="1" t="s">
        <v>8</v>
      </c>
      <c r="D1335" s="1" t="s">
        <v>428</v>
      </c>
      <c r="E1335" s="6" t="str">
        <f>"008"</f>
        <v>008</v>
      </c>
      <c r="F1335" s="6">
        <v>2023</v>
      </c>
      <c r="G1335" s="7">
        <v>472900</v>
      </c>
      <c r="H1335" s="7">
        <v>493900</v>
      </c>
      <c r="I1335" s="7">
        <v>-21000</v>
      </c>
    </row>
    <row r="1336" spans="1:9" x14ac:dyDescent="0.2">
      <c r="A1336" s="1" t="s">
        <v>426</v>
      </c>
      <c r="B1336" s="6" t="str">
        <f t="shared" ref="B1336:B1349" si="53">"67291"</f>
        <v>67291</v>
      </c>
      <c r="C1336" s="1" t="s">
        <v>8</v>
      </c>
      <c r="D1336" s="1" t="s">
        <v>426</v>
      </c>
      <c r="E1336" s="6" t="str">
        <f>"011"</f>
        <v>011</v>
      </c>
      <c r="F1336" s="6">
        <v>1997</v>
      </c>
      <c r="G1336" s="7">
        <v>150387800</v>
      </c>
      <c r="H1336" s="7">
        <v>33833500</v>
      </c>
      <c r="I1336" s="7">
        <v>116554300</v>
      </c>
    </row>
    <row r="1337" spans="1:9" x14ac:dyDescent="0.2">
      <c r="A1337" s="1" t="s">
        <v>426</v>
      </c>
      <c r="B1337" s="6" t="str">
        <f t="shared" si="53"/>
        <v>67291</v>
      </c>
      <c r="C1337" s="1" t="s">
        <v>8</v>
      </c>
      <c r="D1337" s="1" t="s">
        <v>426</v>
      </c>
      <c r="E1337" s="6" t="str">
        <f>"012"</f>
        <v>012</v>
      </c>
      <c r="F1337" s="6">
        <v>2001</v>
      </c>
      <c r="G1337" s="7">
        <v>42420200</v>
      </c>
      <c r="H1337" s="7">
        <v>107700</v>
      </c>
      <c r="I1337" s="7">
        <v>42312500</v>
      </c>
    </row>
    <row r="1338" spans="1:9" x14ac:dyDescent="0.2">
      <c r="A1338" s="1" t="s">
        <v>426</v>
      </c>
      <c r="B1338" s="6" t="str">
        <f t="shared" si="53"/>
        <v>67291</v>
      </c>
      <c r="C1338" s="1" t="s">
        <v>8</v>
      </c>
      <c r="D1338" s="1" t="s">
        <v>426</v>
      </c>
      <c r="E1338" s="6" t="str">
        <f>"013"</f>
        <v>013</v>
      </c>
      <c r="F1338" s="6">
        <v>2003</v>
      </c>
      <c r="G1338" s="7">
        <v>8133100</v>
      </c>
      <c r="H1338" s="7">
        <v>314000</v>
      </c>
      <c r="I1338" s="7">
        <v>7819100</v>
      </c>
    </row>
    <row r="1339" spans="1:9" x14ac:dyDescent="0.2">
      <c r="A1339" s="1" t="s">
        <v>426</v>
      </c>
      <c r="B1339" s="6" t="str">
        <f t="shared" si="53"/>
        <v>67291</v>
      </c>
      <c r="C1339" s="1" t="s">
        <v>8</v>
      </c>
      <c r="D1339" s="1" t="s">
        <v>426</v>
      </c>
      <c r="E1339" s="6" t="str">
        <f>"017"</f>
        <v>017</v>
      </c>
      <c r="F1339" s="6">
        <v>2007</v>
      </c>
      <c r="G1339" s="7">
        <v>145124800</v>
      </c>
      <c r="H1339" s="7">
        <v>57253700</v>
      </c>
      <c r="I1339" s="7">
        <v>87871100</v>
      </c>
    </row>
    <row r="1340" spans="1:9" x14ac:dyDescent="0.2">
      <c r="A1340" s="1" t="s">
        <v>426</v>
      </c>
      <c r="B1340" s="6" t="str">
        <f t="shared" si="53"/>
        <v>67291</v>
      </c>
      <c r="C1340" s="1" t="s">
        <v>8</v>
      </c>
      <c r="D1340" s="1" t="s">
        <v>426</v>
      </c>
      <c r="E1340" s="6" t="str">
        <f>"019"</f>
        <v>019</v>
      </c>
      <c r="F1340" s="6">
        <v>2010</v>
      </c>
      <c r="G1340" s="7">
        <v>32817700</v>
      </c>
      <c r="H1340" s="7">
        <v>10949700</v>
      </c>
      <c r="I1340" s="7">
        <v>21868000</v>
      </c>
    </row>
    <row r="1341" spans="1:9" x14ac:dyDescent="0.2">
      <c r="A1341" s="1" t="s">
        <v>426</v>
      </c>
      <c r="B1341" s="6" t="str">
        <f t="shared" si="53"/>
        <v>67291</v>
      </c>
      <c r="C1341" s="1" t="s">
        <v>8</v>
      </c>
      <c r="D1341" s="1" t="s">
        <v>426</v>
      </c>
      <c r="E1341" s="6" t="str">
        <f>"020"</f>
        <v>020</v>
      </c>
      <c r="F1341" s="6">
        <v>2010</v>
      </c>
      <c r="G1341" s="7">
        <v>31813500</v>
      </c>
      <c r="H1341" s="7">
        <v>19093600</v>
      </c>
      <c r="I1341" s="7">
        <v>12719900</v>
      </c>
    </row>
    <row r="1342" spans="1:9" x14ac:dyDescent="0.2">
      <c r="A1342" s="1" t="s">
        <v>426</v>
      </c>
      <c r="B1342" s="6" t="str">
        <f t="shared" si="53"/>
        <v>67291</v>
      </c>
      <c r="C1342" s="1" t="s">
        <v>8</v>
      </c>
      <c r="D1342" s="1" t="s">
        <v>426</v>
      </c>
      <c r="E1342" s="6" t="str">
        <f>"024"</f>
        <v>024</v>
      </c>
      <c r="F1342" s="6">
        <v>2018</v>
      </c>
      <c r="G1342" s="7">
        <v>28253900</v>
      </c>
      <c r="H1342" s="7">
        <v>9692500</v>
      </c>
      <c r="I1342" s="7">
        <v>18561400</v>
      </c>
    </row>
    <row r="1343" spans="1:9" x14ac:dyDescent="0.2">
      <c r="A1343" s="1" t="s">
        <v>426</v>
      </c>
      <c r="B1343" s="6" t="str">
        <f t="shared" si="53"/>
        <v>67291</v>
      </c>
      <c r="C1343" s="1" t="s">
        <v>8</v>
      </c>
      <c r="D1343" s="1" t="s">
        <v>426</v>
      </c>
      <c r="E1343" s="6" t="str">
        <f>"025"</f>
        <v>025</v>
      </c>
      <c r="F1343" s="6">
        <v>2015</v>
      </c>
      <c r="G1343" s="7">
        <v>37685200</v>
      </c>
      <c r="H1343" s="7">
        <v>5200100</v>
      </c>
      <c r="I1343" s="7">
        <v>32485100</v>
      </c>
    </row>
    <row r="1344" spans="1:9" x14ac:dyDescent="0.2">
      <c r="A1344" s="1" t="s">
        <v>426</v>
      </c>
      <c r="B1344" s="6" t="str">
        <f t="shared" si="53"/>
        <v>67291</v>
      </c>
      <c r="C1344" s="1" t="s">
        <v>8</v>
      </c>
      <c r="D1344" s="1" t="s">
        <v>426</v>
      </c>
      <c r="E1344" s="6" t="str">
        <f>"026"</f>
        <v>026</v>
      </c>
      <c r="F1344" s="6">
        <v>2019</v>
      </c>
      <c r="G1344" s="7">
        <v>6686100</v>
      </c>
      <c r="H1344" s="7">
        <v>4546800</v>
      </c>
      <c r="I1344" s="7">
        <v>2139300</v>
      </c>
    </row>
    <row r="1345" spans="1:9" x14ac:dyDescent="0.2">
      <c r="A1345" s="1" t="s">
        <v>426</v>
      </c>
      <c r="B1345" s="6" t="str">
        <f t="shared" si="53"/>
        <v>67291</v>
      </c>
      <c r="C1345" s="1" t="s">
        <v>8</v>
      </c>
      <c r="D1345" s="1" t="s">
        <v>426</v>
      </c>
      <c r="E1345" s="6" t="str">
        <f>"027"</f>
        <v>027</v>
      </c>
      <c r="F1345" s="6">
        <v>2020</v>
      </c>
      <c r="G1345" s="7">
        <v>36191000</v>
      </c>
      <c r="H1345" s="7">
        <v>2874400</v>
      </c>
      <c r="I1345" s="7">
        <v>33316600</v>
      </c>
    </row>
    <row r="1346" spans="1:9" x14ac:dyDescent="0.2">
      <c r="A1346" s="1" t="s">
        <v>426</v>
      </c>
      <c r="B1346" s="6" t="str">
        <f t="shared" si="53"/>
        <v>67291</v>
      </c>
      <c r="C1346" s="1" t="s">
        <v>8</v>
      </c>
      <c r="D1346" s="1" t="s">
        <v>426</v>
      </c>
      <c r="E1346" s="6" t="str">
        <f>"028"</f>
        <v>028</v>
      </c>
      <c r="F1346" s="6">
        <v>2020</v>
      </c>
      <c r="G1346" s="7">
        <v>37980000</v>
      </c>
      <c r="H1346" s="7">
        <v>1155100</v>
      </c>
      <c r="I1346" s="7">
        <v>36824900</v>
      </c>
    </row>
    <row r="1347" spans="1:9" x14ac:dyDescent="0.2">
      <c r="A1347" s="1" t="s">
        <v>426</v>
      </c>
      <c r="B1347" s="6" t="str">
        <f t="shared" si="53"/>
        <v>67291</v>
      </c>
      <c r="C1347" s="1" t="s">
        <v>8</v>
      </c>
      <c r="D1347" s="1" t="s">
        <v>426</v>
      </c>
      <c r="E1347" s="6" t="str">
        <f>"029"</f>
        <v>029</v>
      </c>
      <c r="F1347" s="6">
        <v>2020</v>
      </c>
      <c r="G1347" s="7">
        <v>4608700</v>
      </c>
      <c r="H1347" s="7">
        <v>3273600</v>
      </c>
      <c r="I1347" s="7">
        <v>1335100</v>
      </c>
    </row>
    <row r="1348" spans="1:9" x14ac:dyDescent="0.2">
      <c r="A1348" s="1" t="s">
        <v>426</v>
      </c>
      <c r="B1348" s="6" t="str">
        <f t="shared" si="53"/>
        <v>67291</v>
      </c>
      <c r="C1348" s="1" t="s">
        <v>8</v>
      </c>
      <c r="D1348" s="1" t="s">
        <v>426</v>
      </c>
      <c r="E1348" s="6" t="str">
        <f>"030"</f>
        <v>030</v>
      </c>
      <c r="F1348" s="6">
        <v>2021</v>
      </c>
      <c r="G1348" s="7">
        <v>25118400</v>
      </c>
      <c r="H1348" s="7">
        <v>504800</v>
      </c>
      <c r="I1348" s="7">
        <v>24613600</v>
      </c>
    </row>
    <row r="1349" spans="1:9" x14ac:dyDescent="0.2">
      <c r="A1349" s="1" t="s">
        <v>426</v>
      </c>
      <c r="B1349" s="6" t="str">
        <f t="shared" si="53"/>
        <v>67291</v>
      </c>
      <c r="C1349" s="1" t="s">
        <v>8</v>
      </c>
      <c r="D1349" s="1" t="s">
        <v>426</v>
      </c>
      <c r="E1349" s="6" t="str">
        <f>"031"</f>
        <v>031</v>
      </c>
      <c r="F1349" s="6">
        <v>2023</v>
      </c>
      <c r="G1349" s="7">
        <v>8565600</v>
      </c>
      <c r="H1349" s="7">
        <v>4203400</v>
      </c>
      <c r="I1349" s="7">
        <v>4362200</v>
      </c>
    </row>
    <row r="1350" spans="1:9" x14ac:dyDescent="0.2">
      <c r="A1350" s="1" t="s">
        <v>441</v>
      </c>
      <c r="B1350" s="6" t="str">
        <f>"68126"</f>
        <v>68126</v>
      </c>
      <c r="C1350" s="1" t="s">
        <v>12</v>
      </c>
      <c r="D1350" s="1" t="s">
        <v>442</v>
      </c>
      <c r="E1350" s="6" t="str">
        <f>"001"</f>
        <v>001</v>
      </c>
      <c r="F1350" s="6">
        <v>2021</v>
      </c>
      <c r="G1350" s="7">
        <v>4403800</v>
      </c>
      <c r="H1350" s="7">
        <v>336800</v>
      </c>
      <c r="I1350" s="7">
        <v>4067000</v>
      </c>
    </row>
    <row r="1351" spans="1:9" x14ac:dyDescent="0.2">
      <c r="A1351" s="1" t="s">
        <v>441</v>
      </c>
      <c r="B1351" s="6" t="str">
        <f>"68211"</f>
        <v>68211</v>
      </c>
      <c r="C1351" s="1" t="s">
        <v>8</v>
      </c>
      <c r="D1351" s="1" t="s">
        <v>443</v>
      </c>
      <c r="E1351" s="6" t="str">
        <f>"008"</f>
        <v>008</v>
      </c>
      <c r="F1351" s="6">
        <v>2018</v>
      </c>
      <c r="G1351" s="7">
        <v>8377100</v>
      </c>
      <c r="H1351" s="7">
        <v>781200</v>
      </c>
      <c r="I1351" s="7">
        <v>7595900</v>
      </c>
    </row>
    <row r="1352" spans="1:9" x14ac:dyDescent="0.2">
      <c r="A1352" s="1" t="s">
        <v>441</v>
      </c>
      <c r="B1352" s="6" t="str">
        <f>"68211"</f>
        <v>68211</v>
      </c>
      <c r="C1352" s="1" t="s">
        <v>8</v>
      </c>
      <c r="D1352" s="1" t="s">
        <v>443</v>
      </c>
      <c r="E1352" s="6" t="str">
        <f>"009"</f>
        <v>009</v>
      </c>
      <c r="F1352" s="6">
        <v>2018</v>
      </c>
      <c r="G1352" s="7">
        <v>9764400</v>
      </c>
      <c r="H1352" s="7">
        <v>4630300</v>
      </c>
      <c r="I1352" s="7">
        <v>5134100</v>
      </c>
    </row>
    <row r="1353" spans="1:9" x14ac:dyDescent="0.2">
      <c r="A1353" s="1" t="s">
        <v>441</v>
      </c>
      <c r="B1353" s="6" t="str">
        <f>"68251"</f>
        <v>68251</v>
      </c>
      <c r="C1353" s="1" t="s">
        <v>8</v>
      </c>
      <c r="D1353" s="1" t="s">
        <v>444</v>
      </c>
      <c r="E1353" s="6" t="str">
        <f>"002"</f>
        <v>002</v>
      </c>
      <c r="F1353" s="6">
        <v>2016</v>
      </c>
      <c r="G1353" s="11">
        <v>6146700</v>
      </c>
      <c r="H1353" s="1">
        <v>2316800</v>
      </c>
      <c r="I1353" s="11">
        <v>3829900</v>
      </c>
    </row>
    <row r="1354" spans="1:9" x14ac:dyDescent="0.2">
      <c r="A1354" s="1" t="s">
        <v>441</v>
      </c>
      <c r="B1354" s="6" t="str">
        <f>"68251"</f>
        <v>68251</v>
      </c>
      <c r="C1354" s="1" t="s">
        <v>8</v>
      </c>
      <c r="D1354" s="1" t="s">
        <v>444</v>
      </c>
      <c r="E1354" s="6" t="str">
        <f>"003"</f>
        <v>003</v>
      </c>
      <c r="F1354" s="6">
        <v>2018</v>
      </c>
      <c r="G1354" s="7">
        <v>4335300</v>
      </c>
      <c r="H1354" s="7">
        <v>2196300</v>
      </c>
      <c r="I1354" s="7">
        <v>2139000</v>
      </c>
    </row>
    <row r="1355" spans="1:9" x14ac:dyDescent="0.2">
      <c r="A1355" s="1" t="s">
        <v>441</v>
      </c>
      <c r="B1355" s="6" t="str">
        <f>"68261"</f>
        <v>68261</v>
      </c>
      <c r="C1355" s="1" t="s">
        <v>8</v>
      </c>
      <c r="D1355" s="1" t="s">
        <v>290</v>
      </c>
      <c r="E1355" s="6" t="str">
        <f>"004"</f>
        <v>004</v>
      </c>
      <c r="F1355" s="6">
        <v>2021</v>
      </c>
      <c r="G1355" s="7">
        <v>7873300</v>
      </c>
      <c r="H1355" s="7">
        <v>1956900</v>
      </c>
      <c r="I1355" s="7">
        <v>5916400</v>
      </c>
    </row>
    <row r="1356" spans="1:9" x14ac:dyDescent="0.2">
      <c r="A1356" s="1" t="s">
        <v>441</v>
      </c>
      <c r="B1356" s="6" t="str">
        <f>"68261"</f>
        <v>68261</v>
      </c>
      <c r="C1356" s="1" t="s">
        <v>8</v>
      </c>
      <c r="D1356" s="1" t="s">
        <v>290</v>
      </c>
      <c r="E1356" s="6" t="str">
        <f>"005"</f>
        <v>005</v>
      </c>
      <c r="F1356" s="6">
        <v>2021</v>
      </c>
      <c r="G1356" s="7">
        <v>19552600</v>
      </c>
      <c r="H1356" s="7">
        <v>3441800</v>
      </c>
      <c r="I1356" s="7">
        <v>16110800</v>
      </c>
    </row>
    <row r="1357" spans="1:9" x14ac:dyDescent="0.2">
      <c r="A1357" s="1" t="s">
        <v>441</v>
      </c>
      <c r="B1357" s="6" t="str">
        <f>"68261"</f>
        <v>68261</v>
      </c>
      <c r="C1357" s="1" t="s">
        <v>8</v>
      </c>
      <c r="D1357" s="1" t="s">
        <v>290</v>
      </c>
      <c r="E1357" s="6" t="str">
        <f>"007"</f>
        <v>007</v>
      </c>
      <c r="F1357" s="6">
        <v>2024</v>
      </c>
      <c r="G1357" s="7">
        <v>3220000</v>
      </c>
      <c r="H1357" s="7">
        <v>557100</v>
      </c>
      <c r="I1357" s="7">
        <v>2662900</v>
      </c>
    </row>
    <row r="1358" spans="1:9" x14ac:dyDescent="0.2">
      <c r="A1358" s="1" t="s">
        <v>441</v>
      </c>
      <c r="B1358" s="6" t="str">
        <f>"68291"</f>
        <v>68291</v>
      </c>
      <c r="C1358" s="1" t="s">
        <v>8</v>
      </c>
      <c r="D1358" s="1" t="s">
        <v>441</v>
      </c>
      <c r="E1358" s="6" t="str">
        <f>"004"</f>
        <v>004</v>
      </c>
      <c r="F1358" s="6">
        <v>2000</v>
      </c>
      <c r="G1358" s="7">
        <v>53121400</v>
      </c>
      <c r="H1358" s="7">
        <v>2901600</v>
      </c>
      <c r="I1358" s="7">
        <v>50219800</v>
      </c>
    </row>
    <row r="1359" spans="1:9" x14ac:dyDescent="0.2">
      <c r="A1359" s="1" t="s">
        <v>441</v>
      </c>
      <c r="B1359" s="6" t="str">
        <f>"68291"</f>
        <v>68291</v>
      </c>
      <c r="C1359" s="1" t="s">
        <v>8</v>
      </c>
      <c r="D1359" s="1" t="s">
        <v>441</v>
      </c>
      <c r="E1359" s="6" t="str">
        <f>"008"</f>
        <v>008</v>
      </c>
      <c r="F1359" s="6">
        <v>2001</v>
      </c>
      <c r="G1359" s="7">
        <v>32566900</v>
      </c>
      <c r="H1359" s="7">
        <v>1712500</v>
      </c>
      <c r="I1359" s="7">
        <v>30854400</v>
      </c>
    </row>
    <row r="1360" spans="1:9" x14ac:dyDescent="0.2">
      <c r="A1360" s="1" t="s">
        <v>441</v>
      </c>
      <c r="B1360" s="6" t="str">
        <f>"68291"</f>
        <v>68291</v>
      </c>
      <c r="C1360" s="1" t="s">
        <v>8</v>
      </c>
      <c r="D1360" s="1" t="s">
        <v>441</v>
      </c>
      <c r="E1360" s="6" t="str">
        <f>"010"</f>
        <v>010</v>
      </c>
      <c r="F1360" s="6">
        <v>2001</v>
      </c>
      <c r="G1360" s="7">
        <v>4940600</v>
      </c>
      <c r="H1360" s="7">
        <v>281800</v>
      </c>
      <c r="I1360" s="7">
        <v>4658800</v>
      </c>
    </row>
    <row r="1361" spans="1:9" x14ac:dyDescent="0.2">
      <c r="A1361" s="1" t="s">
        <v>441</v>
      </c>
      <c r="B1361" s="6" t="str">
        <f>"68291"</f>
        <v>68291</v>
      </c>
      <c r="C1361" s="1" t="s">
        <v>8</v>
      </c>
      <c r="D1361" s="1" t="s">
        <v>441</v>
      </c>
      <c r="E1361" s="6" t="str">
        <f>"011"</f>
        <v>011</v>
      </c>
      <c r="F1361" s="6">
        <v>2022</v>
      </c>
      <c r="G1361" s="7">
        <v>18806500</v>
      </c>
      <c r="H1361" s="7">
        <v>12361300</v>
      </c>
      <c r="I1361" s="7">
        <v>6445200</v>
      </c>
    </row>
    <row r="1362" spans="1:9" x14ac:dyDescent="0.2">
      <c r="A1362" s="1" t="s">
        <v>441</v>
      </c>
      <c r="B1362" s="6" t="str">
        <f>"68291"</f>
        <v>68291</v>
      </c>
      <c r="C1362" s="1" t="s">
        <v>8</v>
      </c>
      <c r="D1362" s="1" t="s">
        <v>441</v>
      </c>
      <c r="E1362" s="6" t="str">
        <f>"012"</f>
        <v>012</v>
      </c>
      <c r="F1362" s="6">
        <v>2022</v>
      </c>
      <c r="G1362" s="7">
        <v>985400</v>
      </c>
      <c r="H1362" s="7">
        <v>818600</v>
      </c>
      <c r="I1362" s="7">
        <v>166800</v>
      </c>
    </row>
    <row r="1363" spans="1:9" x14ac:dyDescent="0.2">
      <c r="A1363" s="1" t="s">
        <v>441</v>
      </c>
      <c r="B1363" s="6" t="str">
        <f>"68292"</f>
        <v>68292</v>
      </c>
      <c r="C1363" s="1" t="s">
        <v>8</v>
      </c>
      <c r="D1363" s="1" t="s">
        <v>445</v>
      </c>
      <c r="E1363" s="6" t="str">
        <f>"004"</f>
        <v>004</v>
      </c>
      <c r="F1363" s="6">
        <v>2001</v>
      </c>
      <c r="G1363" s="7">
        <v>11091000</v>
      </c>
      <c r="H1363" s="7">
        <v>458800</v>
      </c>
      <c r="I1363" s="7">
        <v>10632200</v>
      </c>
    </row>
    <row r="1364" spans="1:9" x14ac:dyDescent="0.2">
      <c r="A1364" s="1" t="s">
        <v>441</v>
      </c>
      <c r="B1364" s="6" t="str">
        <f>"68292"</f>
        <v>68292</v>
      </c>
      <c r="C1364" s="1" t="s">
        <v>8</v>
      </c>
      <c r="D1364" s="1" t="s">
        <v>445</v>
      </c>
      <c r="E1364" s="6" t="str">
        <f>"006"</f>
        <v>006</v>
      </c>
      <c r="F1364" s="6">
        <v>2015</v>
      </c>
      <c r="G1364" s="7">
        <v>10168700</v>
      </c>
      <c r="H1364" s="7">
        <v>6611000</v>
      </c>
      <c r="I1364" s="7">
        <v>3557700</v>
      </c>
    </row>
    <row r="1365" spans="1:9" x14ac:dyDescent="0.2">
      <c r="A1365" s="1" t="s">
        <v>441</v>
      </c>
      <c r="B1365" s="6" t="str">
        <f>"68292"</f>
        <v>68292</v>
      </c>
      <c r="C1365" s="1" t="s">
        <v>8</v>
      </c>
      <c r="D1365" s="1" t="s">
        <v>445</v>
      </c>
      <c r="E1365" s="6" t="str">
        <f>"007"</f>
        <v>007</v>
      </c>
      <c r="F1365" s="6">
        <v>2015</v>
      </c>
      <c r="G1365" s="7">
        <v>1626600</v>
      </c>
      <c r="H1365" s="7">
        <v>749700</v>
      </c>
      <c r="I1365" s="7">
        <v>876900</v>
      </c>
    </row>
    <row r="1366" spans="1:9" x14ac:dyDescent="0.2">
      <c r="A1366" s="1" t="s">
        <v>446</v>
      </c>
      <c r="B1366" s="6" t="str">
        <f>"69111"</f>
        <v>69111</v>
      </c>
      <c r="C1366" s="1" t="s">
        <v>12</v>
      </c>
      <c r="D1366" s="1" t="s">
        <v>447</v>
      </c>
      <c r="E1366" s="6" t="str">
        <f>"002"</f>
        <v>002</v>
      </c>
      <c r="F1366" s="6">
        <v>2005</v>
      </c>
      <c r="G1366" s="7">
        <v>7998400</v>
      </c>
      <c r="H1366" s="7">
        <v>1243100</v>
      </c>
      <c r="I1366" s="7">
        <v>6755300</v>
      </c>
    </row>
    <row r="1367" spans="1:9" x14ac:dyDescent="0.2">
      <c r="A1367" s="1" t="s">
        <v>446</v>
      </c>
      <c r="B1367" s="6" t="str">
        <f>"69136"</f>
        <v>69136</v>
      </c>
      <c r="C1367" s="1" t="s">
        <v>12</v>
      </c>
      <c r="D1367" s="1" t="s">
        <v>448</v>
      </c>
      <c r="E1367" s="6" t="str">
        <f>"001"</f>
        <v>001</v>
      </c>
      <c r="F1367" s="6">
        <v>2016</v>
      </c>
      <c r="G1367" s="7">
        <v>1279800</v>
      </c>
      <c r="H1367" s="7">
        <v>473900</v>
      </c>
      <c r="I1367" s="7">
        <v>805900</v>
      </c>
    </row>
    <row r="1368" spans="1:9" x14ac:dyDescent="0.2">
      <c r="A1368" s="1" t="s">
        <v>446</v>
      </c>
      <c r="B1368" s="6" t="str">
        <f>"69171"</f>
        <v>69171</v>
      </c>
      <c r="C1368" s="1" t="s">
        <v>12</v>
      </c>
      <c r="D1368" s="1" t="s">
        <v>449</v>
      </c>
      <c r="E1368" s="6" t="str">
        <f>"001"</f>
        <v>001</v>
      </c>
      <c r="F1368" s="6">
        <v>2015</v>
      </c>
      <c r="G1368" s="7">
        <v>6232200</v>
      </c>
      <c r="H1368" s="7">
        <v>1952900</v>
      </c>
      <c r="I1368" s="7">
        <v>4279300</v>
      </c>
    </row>
    <row r="1369" spans="1:9" x14ac:dyDescent="0.2">
      <c r="A1369" s="1" t="s">
        <v>446</v>
      </c>
      <c r="B1369" s="6" t="str">
        <f>"69176"</f>
        <v>69176</v>
      </c>
      <c r="C1369" s="1" t="s">
        <v>12</v>
      </c>
      <c r="D1369" s="1" t="s">
        <v>450</v>
      </c>
      <c r="E1369" s="6" t="str">
        <f>"001"</f>
        <v>001</v>
      </c>
      <c r="F1369" s="6">
        <v>1997</v>
      </c>
      <c r="G1369" s="7">
        <v>16443300</v>
      </c>
      <c r="H1369" s="7">
        <v>1459000</v>
      </c>
      <c r="I1369" s="7">
        <v>14984300</v>
      </c>
    </row>
    <row r="1370" spans="1:9" x14ac:dyDescent="0.2">
      <c r="A1370" s="1" t="s">
        <v>446</v>
      </c>
      <c r="B1370" s="6" t="str">
        <f>"69176"</f>
        <v>69176</v>
      </c>
      <c r="C1370" s="1" t="s">
        <v>12</v>
      </c>
      <c r="D1370" s="1" t="s">
        <v>450</v>
      </c>
      <c r="E1370" s="6" t="str">
        <f>"002"</f>
        <v>002</v>
      </c>
      <c r="F1370" s="6">
        <v>1997</v>
      </c>
      <c r="G1370" s="7">
        <v>485200</v>
      </c>
      <c r="H1370" s="7">
        <v>46200</v>
      </c>
      <c r="I1370" s="7">
        <v>439000</v>
      </c>
    </row>
    <row r="1371" spans="1:9" x14ac:dyDescent="0.2">
      <c r="A1371" s="1" t="s">
        <v>451</v>
      </c>
      <c r="B1371" s="6" t="str">
        <f>"70002"</f>
        <v>70002</v>
      </c>
      <c r="C1371" s="1" t="s">
        <v>6</v>
      </c>
      <c r="D1371" s="1" t="s">
        <v>199</v>
      </c>
      <c r="E1371" s="6" t="str">
        <f>"001A"</f>
        <v>001A</v>
      </c>
      <c r="F1371" s="6">
        <v>2024</v>
      </c>
      <c r="G1371" s="7">
        <v>1899200</v>
      </c>
      <c r="H1371" s="7">
        <v>1861700</v>
      </c>
      <c r="I1371" s="7">
        <v>37500</v>
      </c>
    </row>
    <row r="1372" spans="1:9" x14ac:dyDescent="0.2">
      <c r="A1372" s="1" t="s">
        <v>451</v>
      </c>
      <c r="B1372" s="6" t="str">
        <f>"70006"</f>
        <v>70006</v>
      </c>
      <c r="C1372" s="1" t="s">
        <v>6</v>
      </c>
      <c r="D1372" s="1" t="s">
        <v>311</v>
      </c>
      <c r="E1372" s="6" t="str">
        <f>"001A"</f>
        <v>001A</v>
      </c>
      <c r="F1372" s="6">
        <v>2019</v>
      </c>
      <c r="G1372" s="7">
        <v>76803000</v>
      </c>
      <c r="H1372" s="7">
        <v>32946400</v>
      </c>
      <c r="I1372" s="7">
        <v>43856600</v>
      </c>
    </row>
    <row r="1373" spans="1:9" x14ac:dyDescent="0.2">
      <c r="A1373" s="1" t="s">
        <v>451</v>
      </c>
      <c r="B1373" s="6" t="str">
        <f>"70121"</f>
        <v>70121</v>
      </c>
      <c r="C1373" s="1" t="s">
        <v>12</v>
      </c>
      <c r="D1373" s="1" t="s">
        <v>452</v>
      </c>
      <c r="E1373" s="6" t="str">
        <f>"001"</f>
        <v>001</v>
      </c>
      <c r="F1373" s="6">
        <v>2015</v>
      </c>
      <c r="G1373" s="7">
        <v>34957300</v>
      </c>
      <c r="H1373" s="7">
        <v>2681100</v>
      </c>
      <c r="I1373" s="7">
        <v>32276200</v>
      </c>
    </row>
    <row r="1374" spans="1:9" x14ac:dyDescent="0.2">
      <c r="A1374" s="1" t="s">
        <v>451</v>
      </c>
      <c r="B1374" s="6" t="str">
        <f>"70121"</f>
        <v>70121</v>
      </c>
      <c r="C1374" s="1" t="s">
        <v>12</v>
      </c>
      <c r="D1374" s="1" t="s">
        <v>452</v>
      </c>
      <c r="E1374" s="6" t="str">
        <f>"002"</f>
        <v>002</v>
      </c>
      <c r="F1374" s="6">
        <v>2016</v>
      </c>
      <c r="G1374" s="7">
        <v>60385300</v>
      </c>
      <c r="H1374" s="7">
        <v>29616100</v>
      </c>
      <c r="I1374" s="7">
        <v>30769200</v>
      </c>
    </row>
    <row r="1375" spans="1:9" x14ac:dyDescent="0.2">
      <c r="A1375" s="1" t="s">
        <v>451</v>
      </c>
      <c r="B1375" s="6" t="str">
        <f>"70121"</f>
        <v>70121</v>
      </c>
      <c r="C1375" s="1" t="s">
        <v>12</v>
      </c>
      <c r="D1375" s="1" t="s">
        <v>452</v>
      </c>
      <c r="E1375" s="6" t="str">
        <f>"003"</f>
        <v>003</v>
      </c>
      <c r="F1375" s="6">
        <v>2017</v>
      </c>
      <c r="G1375" s="7">
        <v>67185600</v>
      </c>
      <c r="H1375" s="7">
        <v>20000</v>
      </c>
      <c r="I1375" s="7">
        <v>67165600</v>
      </c>
    </row>
    <row r="1376" spans="1:9" x14ac:dyDescent="0.2">
      <c r="A1376" s="1" t="s">
        <v>451</v>
      </c>
      <c r="B1376" s="6" t="str">
        <f>"70121"</f>
        <v>70121</v>
      </c>
      <c r="C1376" s="1" t="s">
        <v>12</v>
      </c>
      <c r="D1376" s="1" t="s">
        <v>452</v>
      </c>
      <c r="E1376" s="6" t="str">
        <f>"004"</f>
        <v>004</v>
      </c>
      <c r="F1376" s="6">
        <v>2018</v>
      </c>
      <c r="G1376" s="7">
        <v>898200</v>
      </c>
      <c r="H1376" s="7">
        <v>542900</v>
      </c>
      <c r="I1376" s="7">
        <v>355300</v>
      </c>
    </row>
    <row r="1377" spans="1:9" x14ac:dyDescent="0.2">
      <c r="A1377" s="1" t="s">
        <v>451</v>
      </c>
      <c r="B1377" s="6" t="str">
        <f>"70121"</f>
        <v>70121</v>
      </c>
      <c r="C1377" s="1" t="s">
        <v>12</v>
      </c>
      <c r="D1377" s="1" t="s">
        <v>452</v>
      </c>
      <c r="E1377" s="6" t="str">
        <f>"005"</f>
        <v>005</v>
      </c>
      <c r="F1377" s="6">
        <v>2022</v>
      </c>
      <c r="G1377" s="7">
        <v>10410900</v>
      </c>
      <c r="H1377" s="7">
        <v>648600</v>
      </c>
      <c r="I1377" s="7">
        <v>9762300</v>
      </c>
    </row>
    <row r="1378" spans="1:9" x14ac:dyDescent="0.2">
      <c r="A1378" s="1" t="s">
        <v>451</v>
      </c>
      <c r="B1378" s="6" t="str">
        <f>"70191"</f>
        <v>70191</v>
      </c>
      <c r="C1378" s="1" t="s">
        <v>12</v>
      </c>
      <c r="D1378" s="1" t="s">
        <v>453</v>
      </c>
      <c r="E1378" s="6" t="str">
        <f>"008"</f>
        <v>008</v>
      </c>
      <c r="F1378" s="6">
        <v>2011</v>
      </c>
      <c r="G1378" s="7">
        <v>2885900</v>
      </c>
      <c r="H1378" s="7">
        <v>0</v>
      </c>
      <c r="I1378" s="7">
        <v>2885900</v>
      </c>
    </row>
    <row r="1379" spans="1:9" x14ac:dyDescent="0.2">
      <c r="A1379" s="1" t="s">
        <v>451</v>
      </c>
      <c r="B1379" s="6" t="str">
        <f>"70201"</f>
        <v>70201</v>
      </c>
      <c r="C1379" s="1" t="s">
        <v>8</v>
      </c>
      <c r="D1379" s="1" t="s">
        <v>47</v>
      </c>
      <c r="E1379" s="6" t="str">
        <f>"007"</f>
        <v>007</v>
      </c>
      <c r="F1379" s="6">
        <v>2007</v>
      </c>
      <c r="G1379" s="7">
        <v>42268700</v>
      </c>
      <c r="H1379" s="7">
        <v>22579900</v>
      </c>
      <c r="I1379" s="7">
        <v>19688800</v>
      </c>
    </row>
    <row r="1380" spans="1:9" x14ac:dyDescent="0.2">
      <c r="A1380" s="1" t="s">
        <v>451</v>
      </c>
      <c r="B1380" s="6" t="str">
        <f t="shared" ref="B1380:B1385" si="54">"70251"</f>
        <v>70251</v>
      </c>
      <c r="C1380" s="1" t="s">
        <v>8</v>
      </c>
      <c r="D1380" s="1" t="s">
        <v>51</v>
      </c>
      <c r="E1380" s="6" t="str">
        <f>"004"</f>
        <v>004</v>
      </c>
      <c r="F1380" s="6">
        <v>1997</v>
      </c>
      <c r="G1380" s="7">
        <v>9493600</v>
      </c>
      <c r="H1380" s="7">
        <v>4196000</v>
      </c>
      <c r="I1380" s="7">
        <v>5297600</v>
      </c>
    </row>
    <row r="1381" spans="1:9" x14ac:dyDescent="0.2">
      <c r="A1381" s="1" t="s">
        <v>451</v>
      </c>
      <c r="B1381" s="6" t="str">
        <f t="shared" si="54"/>
        <v>70251</v>
      </c>
      <c r="C1381" s="1" t="s">
        <v>8</v>
      </c>
      <c r="D1381" s="1" t="s">
        <v>51</v>
      </c>
      <c r="E1381" s="6" t="str">
        <f>"007"</f>
        <v>007</v>
      </c>
      <c r="F1381" s="6">
        <v>2003</v>
      </c>
      <c r="G1381" s="7">
        <v>7841000</v>
      </c>
      <c r="H1381" s="7">
        <v>687300</v>
      </c>
      <c r="I1381" s="7">
        <v>7153700</v>
      </c>
    </row>
    <row r="1382" spans="1:9" x14ac:dyDescent="0.2">
      <c r="A1382" s="1" t="s">
        <v>451</v>
      </c>
      <c r="B1382" s="6" t="str">
        <f t="shared" si="54"/>
        <v>70251</v>
      </c>
      <c r="C1382" s="1" t="s">
        <v>8</v>
      </c>
      <c r="D1382" s="1" t="s">
        <v>51</v>
      </c>
      <c r="E1382" s="6" t="str">
        <f>"008"</f>
        <v>008</v>
      </c>
      <c r="F1382" s="6">
        <v>2005</v>
      </c>
      <c r="G1382" s="7">
        <v>4706900</v>
      </c>
      <c r="H1382" s="7">
        <v>484500</v>
      </c>
      <c r="I1382" s="7">
        <v>4222400</v>
      </c>
    </row>
    <row r="1383" spans="1:9" x14ac:dyDescent="0.2">
      <c r="A1383" s="1" t="s">
        <v>451</v>
      </c>
      <c r="B1383" s="6" t="str">
        <f t="shared" si="54"/>
        <v>70251</v>
      </c>
      <c r="C1383" s="1" t="s">
        <v>8</v>
      </c>
      <c r="D1383" s="1" t="s">
        <v>51</v>
      </c>
      <c r="E1383" s="6" t="str">
        <f>"010"</f>
        <v>010</v>
      </c>
      <c r="F1383" s="6">
        <v>2006</v>
      </c>
      <c r="G1383" s="7">
        <v>14637100</v>
      </c>
      <c r="H1383" s="7">
        <v>9701900</v>
      </c>
      <c r="I1383" s="7">
        <v>4935200</v>
      </c>
    </row>
    <row r="1384" spans="1:9" x14ac:dyDescent="0.2">
      <c r="A1384" s="1" t="s">
        <v>451</v>
      </c>
      <c r="B1384" s="6" t="str">
        <f t="shared" si="54"/>
        <v>70251</v>
      </c>
      <c r="C1384" s="1" t="s">
        <v>8</v>
      </c>
      <c r="D1384" s="1" t="s">
        <v>51</v>
      </c>
      <c r="E1384" s="6" t="str">
        <f>"011"</f>
        <v>011</v>
      </c>
      <c r="F1384" s="6">
        <v>2007</v>
      </c>
      <c r="G1384" s="7">
        <v>10621000</v>
      </c>
      <c r="H1384" s="7">
        <v>284900</v>
      </c>
      <c r="I1384" s="7">
        <v>10336100</v>
      </c>
    </row>
    <row r="1385" spans="1:9" x14ac:dyDescent="0.2">
      <c r="A1385" s="1" t="s">
        <v>451</v>
      </c>
      <c r="B1385" s="6" t="str">
        <f t="shared" si="54"/>
        <v>70251</v>
      </c>
      <c r="C1385" s="1" t="s">
        <v>8</v>
      </c>
      <c r="D1385" s="1" t="s">
        <v>51</v>
      </c>
      <c r="E1385" s="6" t="str">
        <f>"013"</f>
        <v>013</v>
      </c>
      <c r="F1385" s="6">
        <v>2015</v>
      </c>
      <c r="G1385" s="7">
        <v>51386600</v>
      </c>
      <c r="H1385" s="7">
        <v>10082700</v>
      </c>
      <c r="I1385" s="7">
        <v>41303900</v>
      </c>
    </row>
    <row r="1386" spans="1:9" x14ac:dyDescent="0.2">
      <c r="A1386" s="1" t="s">
        <v>451</v>
      </c>
      <c r="B1386" s="6" t="str">
        <f t="shared" ref="B1386:B1392" si="55">"70261"</f>
        <v>70261</v>
      </c>
      <c r="C1386" s="1" t="s">
        <v>8</v>
      </c>
      <c r="D1386" s="1" t="s">
        <v>454</v>
      </c>
      <c r="E1386" s="6" t="str">
        <f>"007"</f>
        <v>007</v>
      </c>
      <c r="F1386" s="6">
        <v>2000</v>
      </c>
      <c r="G1386" s="7">
        <v>175376000</v>
      </c>
      <c r="H1386" s="7">
        <v>37039200</v>
      </c>
      <c r="I1386" s="7">
        <v>138336800</v>
      </c>
    </row>
    <row r="1387" spans="1:9" x14ac:dyDescent="0.2">
      <c r="A1387" s="1" t="s">
        <v>451</v>
      </c>
      <c r="B1387" s="6" t="str">
        <f t="shared" si="55"/>
        <v>70261</v>
      </c>
      <c r="C1387" s="1" t="s">
        <v>8</v>
      </c>
      <c r="D1387" s="1" t="s">
        <v>454</v>
      </c>
      <c r="E1387" s="6" t="str">
        <f>"008"</f>
        <v>008</v>
      </c>
      <c r="F1387" s="6">
        <v>2001</v>
      </c>
      <c r="G1387" s="7">
        <v>111005500</v>
      </c>
      <c r="H1387" s="7">
        <v>12372100</v>
      </c>
      <c r="I1387" s="7">
        <v>98633400</v>
      </c>
    </row>
    <row r="1388" spans="1:9" x14ac:dyDescent="0.2">
      <c r="A1388" s="1" t="s">
        <v>451</v>
      </c>
      <c r="B1388" s="6" t="str">
        <f t="shared" si="55"/>
        <v>70261</v>
      </c>
      <c r="C1388" s="1" t="s">
        <v>8</v>
      </c>
      <c r="D1388" s="1" t="s">
        <v>454</v>
      </c>
      <c r="E1388" s="6" t="str">
        <f>"009"</f>
        <v>009</v>
      </c>
      <c r="F1388" s="6">
        <v>2015</v>
      </c>
      <c r="G1388" s="7">
        <v>41942300</v>
      </c>
      <c r="H1388" s="7">
        <v>26624200</v>
      </c>
      <c r="I1388" s="7">
        <v>15318100</v>
      </c>
    </row>
    <row r="1389" spans="1:9" x14ac:dyDescent="0.2">
      <c r="A1389" s="1" t="s">
        <v>451</v>
      </c>
      <c r="B1389" s="6" t="str">
        <f t="shared" si="55"/>
        <v>70261</v>
      </c>
      <c r="C1389" s="1" t="s">
        <v>8</v>
      </c>
      <c r="D1389" s="1" t="s">
        <v>454</v>
      </c>
      <c r="E1389" s="6" t="str">
        <f>"010"</f>
        <v>010</v>
      </c>
      <c r="F1389" s="6">
        <v>2015</v>
      </c>
      <c r="G1389" s="7">
        <v>20924500</v>
      </c>
      <c r="H1389" s="7">
        <v>3650500</v>
      </c>
      <c r="I1389" s="7">
        <v>17274000</v>
      </c>
    </row>
    <row r="1390" spans="1:9" x14ac:dyDescent="0.2">
      <c r="A1390" s="1" t="s">
        <v>451</v>
      </c>
      <c r="B1390" s="6" t="str">
        <f t="shared" si="55"/>
        <v>70261</v>
      </c>
      <c r="C1390" s="1" t="s">
        <v>8</v>
      </c>
      <c r="D1390" s="1" t="s">
        <v>454</v>
      </c>
      <c r="E1390" s="6" t="str">
        <f>"011"</f>
        <v>011</v>
      </c>
      <c r="F1390" s="6">
        <v>2017</v>
      </c>
      <c r="G1390" s="7">
        <v>27219000</v>
      </c>
      <c r="H1390" s="7">
        <v>117700</v>
      </c>
      <c r="I1390" s="7">
        <v>27101300</v>
      </c>
    </row>
    <row r="1391" spans="1:9" x14ac:dyDescent="0.2">
      <c r="A1391" s="1" t="s">
        <v>451</v>
      </c>
      <c r="B1391" s="6" t="str">
        <f t="shared" si="55"/>
        <v>70261</v>
      </c>
      <c r="C1391" s="1" t="s">
        <v>8</v>
      </c>
      <c r="D1391" s="1" t="s">
        <v>454</v>
      </c>
      <c r="E1391" s="6" t="str">
        <f>"012"</f>
        <v>012</v>
      </c>
      <c r="F1391" s="6">
        <v>2022</v>
      </c>
      <c r="G1391" s="7">
        <v>16849400</v>
      </c>
      <c r="H1391" s="7">
        <v>9137700</v>
      </c>
      <c r="I1391" s="7">
        <v>7711700</v>
      </c>
    </row>
    <row r="1392" spans="1:9" x14ac:dyDescent="0.2">
      <c r="A1392" s="1" t="s">
        <v>451</v>
      </c>
      <c r="B1392" s="6" t="str">
        <f t="shared" si="55"/>
        <v>70261</v>
      </c>
      <c r="C1392" s="1" t="s">
        <v>8</v>
      </c>
      <c r="D1392" s="1" t="s">
        <v>454</v>
      </c>
      <c r="E1392" s="6" t="str">
        <f>"013"</f>
        <v>013</v>
      </c>
      <c r="F1392" s="6">
        <v>2024</v>
      </c>
      <c r="G1392" s="7">
        <v>23896900</v>
      </c>
      <c r="H1392" s="7">
        <v>222300</v>
      </c>
      <c r="I1392" s="7">
        <v>23674600</v>
      </c>
    </row>
    <row r="1393" spans="1:9" x14ac:dyDescent="0.2">
      <c r="A1393" s="1" t="s">
        <v>451</v>
      </c>
      <c r="B1393" s="6" t="str">
        <f>"70265"</f>
        <v>70265</v>
      </c>
      <c r="C1393" s="1" t="s">
        <v>8</v>
      </c>
      <c r="D1393" s="1" t="s">
        <v>455</v>
      </c>
      <c r="E1393" s="6" t="str">
        <f>"007"</f>
        <v>007</v>
      </c>
      <c r="F1393" s="6">
        <v>2017</v>
      </c>
      <c r="G1393" s="7">
        <v>13872500</v>
      </c>
      <c r="H1393" s="7">
        <v>4315200</v>
      </c>
      <c r="I1393" s="7">
        <v>9557300</v>
      </c>
    </row>
    <row r="1394" spans="1:9" x14ac:dyDescent="0.2">
      <c r="A1394" s="1" t="s">
        <v>451</v>
      </c>
      <c r="B1394" s="6" t="str">
        <f t="shared" ref="B1394:B1423" si="56">"70266"</f>
        <v>70266</v>
      </c>
      <c r="C1394" s="1" t="s">
        <v>8</v>
      </c>
      <c r="D1394" s="1" t="s">
        <v>456</v>
      </c>
      <c r="E1394" s="6" t="str">
        <f>"013"</f>
        <v>013</v>
      </c>
      <c r="F1394" s="6">
        <v>1998</v>
      </c>
      <c r="G1394" s="7">
        <v>23765800</v>
      </c>
      <c r="H1394" s="7">
        <v>5429200</v>
      </c>
      <c r="I1394" s="7">
        <v>18336600</v>
      </c>
    </row>
    <row r="1395" spans="1:9" x14ac:dyDescent="0.2">
      <c r="A1395" s="1" t="s">
        <v>451</v>
      </c>
      <c r="B1395" s="6" t="str">
        <f t="shared" si="56"/>
        <v>70266</v>
      </c>
      <c r="C1395" s="1" t="s">
        <v>8</v>
      </c>
      <c r="D1395" s="1" t="s">
        <v>456</v>
      </c>
      <c r="E1395" s="6" t="str">
        <f>"014"</f>
        <v>014</v>
      </c>
      <c r="F1395" s="6">
        <v>2000</v>
      </c>
      <c r="G1395" s="7">
        <v>31624900</v>
      </c>
      <c r="H1395" s="7">
        <v>558400</v>
      </c>
      <c r="I1395" s="7">
        <v>31066500</v>
      </c>
    </row>
    <row r="1396" spans="1:9" x14ac:dyDescent="0.2">
      <c r="A1396" s="1" t="s">
        <v>451</v>
      </c>
      <c r="B1396" s="6" t="str">
        <f t="shared" si="56"/>
        <v>70266</v>
      </c>
      <c r="C1396" s="1" t="s">
        <v>8</v>
      </c>
      <c r="D1396" s="1" t="s">
        <v>456</v>
      </c>
      <c r="E1396" s="6" t="str">
        <f>"015"</f>
        <v>015</v>
      </c>
      <c r="F1396" s="6">
        <v>2001</v>
      </c>
      <c r="G1396" s="7">
        <v>9980600</v>
      </c>
      <c r="H1396" s="7">
        <v>394400</v>
      </c>
      <c r="I1396" s="7">
        <v>9586200</v>
      </c>
    </row>
    <row r="1397" spans="1:9" x14ac:dyDescent="0.2">
      <c r="A1397" s="1" t="s">
        <v>451</v>
      </c>
      <c r="B1397" s="6" t="str">
        <f t="shared" si="56"/>
        <v>70266</v>
      </c>
      <c r="C1397" s="1" t="s">
        <v>8</v>
      </c>
      <c r="D1397" s="1" t="s">
        <v>456</v>
      </c>
      <c r="E1397" s="6" t="str">
        <f>"016"</f>
        <v>016</v>
      </c>
      <c r="F1397" s="6">
        <v>2001</v>
      </c>
      <c r="G1397" s="7">
        <v>8100100</v>
      </c>
      <c r="H1397" s="7">
        <v>0</v>
      </c>
      <c r="I1397" s="7">
        <v>8100100</v>
      </c>
    </row>
    <row r="1398" spans="1:9" x14ac:dyDescent="0.2">
      <c r="A1398" s="1" t="s">
        <v>451</v>
      </c>
      <c r="B1398" s="6" t="str">
        <f t="shared" si="56"/>
        <v>70266</v>
      </c>
      <c r="C1398" s="1" t="s">
        <v>8</v>
      </c>
      <c r="D1398" s="1" t="s">
        <v>456</v>
      </c>
      <c r="E1398" s="6" t="str">
        <f>"017"</f>
        <v>017</v>
      </c>
      <c r="F1398" s="6">
        <v>2001</v>
      </c>
      <c r="G1398" s="7">
        <v>13486300</v>
      </c>
      <c r="H1398" s="7">
        <v>1750100</v>
      </c>
      <c r="I1398" s="7">
        <v>11736200</v>
      </c>
    </row>
    <row r="1399" spans="1:9" x14ac:dyDescent="0.2">
      <c r="A1399" s="1" t="s">
        <v>451</v>
      </c>
      <c r="B1399" s="6" t="str">
        <f t="shared" si="56"/>
        <v>70266</v>
      </c>
      <c r="C1399" s="1" t="s">
        <v>8</v>
      </c>
      <c r="D1399" s="1" t="s">
        <v>456</v>
      </c>
      <c r="E1399" s="6" t="str">
        <f>"018"</f>
        <v>018</v>
      </c>
      <c r="F1399" s="6">
        <v>2002</v>
      </c>
      <c r="G1399" s="7">
        <v>30185700</v>
      </c>
      <c r="H1399" s="7">
        <v>51300</v>
      </c>
      <c r="I1399" s="7">
        <v>30134400</v>
      </c>
    </row>
    <row r="1400" spans="1:9" x14ac:dyDescent="0.2">
      <c r="A1400" s="1" t="s">
        <v>451</v>
      </c>
      <c r="B1400" s="6" t="str">
        <f t="shared" si="56"/>
        <v>70266</v>
      </c>
      <c r="C1400" s="1" t="s">
        <v>8</v>
      </c>
      <c r="D1400" s="1" t="s">
        <v>456</v>
      </c>
      <c r="E1400" s="6" t="str">
        <f>"019"</f>
        <v>019</v>
      </c>
      <c r="F1400" s="6">
        <v>2003</v>
      </c>
      <c r="G1400" s="7">
        <v>14233900</v>
      </c>
      <c r="H1400" s="7">
        <v>104200</v>
      </c>
      <c r="I1400" s="7">
        <v>14129700</v>
      </c>
    </row>
    <row r="1401" spans="1:9" x14ac:dyDescent="0.2">
      <c r="A1401" s="1" t="s">
        <v>451</v>
      </c>
      <c r="B1401" s="6" t="str">
        <f t="shared" si="56"/>
        <v>70266</v>
      </c>
      <c r="C1401" s="1" t="s">
        <v>8</v>
      </c>
      <c r="D1401" s="1" t="s">
        <v>456</v>
      </c>
      <c r="E1401" s="6" t="str">
        <f>"020"</f>
        <v>020</v>
      </c>
      <c r="F1401" s="6">
        <v>2005</v>
      </c>
      <c r="G1401" s="7">
        <v>20508100</v>
      </c>
      <c r="H1401" s="7">
        <v>19161700</v>
      </c>
      <c r="I1401" s="7">
        <v>1346400</v>
      </c>
    </row>
    <row r="1402" spans="1:9" x14ac:dyDescent="0.2">
      <c r="A1402" s="1" t="s">
        <v>451</v>
      </c>
      <c r="B1402" s="6" t="str">
        <f t="shared" si="56"/>
        <v>70266</v>
      </c>
      <c r="C1402" s="1" t="s">
        <v>8</v>
      </c>
      <c r="D1402" s="1" t="s">
        <v>456</v>
      </c>
      <c r="E1402" s="6" t="str">
        <f>"021"</f>
        <v>021</v>
      </c>
      <c r="F1402" s="6">
        <v>2006</v>
      </c>
      <c r="G1402" s="7">
        <v>33335200</v>
      </c>
      <c r="H1402" s="7">
        <v>1954900</v>
      </c>
      <c r="I1402" s="7">
        <v>31380300</v>
      </c>
    </row>
    <row r="1403" spans="1:9" x14ac:dyDescent="0.2">
      <c r="A1403" s="1" t="s">
        <v>451</v>
      </c>
      <c r="B1403" s="6" t="str">
        <f t="shared" si="56"/>
        <v>70266</v>
      </c>
      <c r="C1403" s="1" t="s">
        <v>8</v>
      </c>
      <c r="D1403" s="1" t="s">
        <v>456</v>
      </c>
      <c r="E1403" s="6" t="str">
        <f>"023"</f>
        <v>023</v>
      </c>
      <c r="F1403" s="6">
        <v>2009</v>
      </c>
      <c r="G1403" s="7">
        <v>1172400</v>
      </c>
      <c r="H1403" s="7">
        <v>233700</v>
      </c>
      <c r="I1403" s="7">
        <v>938700</v>
      </c>
    </row>
    <row r="1404" spans="1:9" x14ac:dyDescent="0.2">
      <c r="A1404" s="1" t="s">
        <v>451</v>
      </c>
      <c r="B1404" s="6" t="str">
        <f t="shared" si="56"/>
        <v>70266</v>
      </c>
      <c r="C1404" s="1" t="s">
        <v>8</v>
      </c>
      <c r="D1404" s="1" t="s">
        <v>456</v>
      </c>
      <c r="E1404" s="6" t="str">
        <f>"024"</f>
        <v>024</v>
      </c>
      <c r="F1404" s="6">
        <v>2010</v>
      </c>
      <c r="G1404" s="7">
        <v>16839900</v>
      </c>
      <c r="H1404" s="7">
        <v>8464900</v>
      </c>
      <c r="I1404" s="7">
        <v>8375000</v>
      </c>
    </row>
    <row r="1405" spans="1:9" x14ac:dyDescent="0.2">
      <c r="A1405" s="1" t="s">
        <v>451</v>
      </c>
      <c r="B1405" s="6" t="str">
        <f t="shared" si="56"/>
        <v>70266</v>
      </c>
      <c r="C1405" s="1" t="s">
        <v>8</v>
      </c>
      <c r="D1405" s="1" t="s">
        <v>456</v>
      </c>
      <c r="E1405" s="6" t="str">
        <f>"025"</f>
        <v>025</v>
      </c>
      <c r="F1405" s="6">
        <v>2012</v>
      </c>
      <c r="G1405" s="7">
        <v>11585000</v>
      </c>
      <c r="H1405" s="7">
        <v>1012900</v>
      </c>
      <c r="I1405" s="7">
        <v>10572100</v>
      </c>
    </row>
    <row r="1406" spans="1:9" x14ac:dyDescent="0.2">
      <c r="A1406" s="1" t="s">
        <v>451</v>
      </c>
      <c r="B1406" s="6" t="str">
        <f t="shared" si="56"/>
        <v>70266</v>
      </c>
      <c r="C1406" s="1" t="s">
        <v>8</v>
      </c>
      <c r="D1406" s="1" t="s">
        <v>456</v>
      </c>
      <c r="E1406" s="6" t="str">
        <f>"026"</f>
        <v>026</v>
      </c>
      <c r="F1406" s="6">
        <v>2013</v>
      </c>
      <c r="G1406" s="7">
        <v>0</v>
      </c>
      <c r="H1406" s="7">
        <v>29400</v>
      </c>
      <c r="I1406" s="7">
        <v>-29400</v>
      </c>
    </row>
    <row r="1407" spans="1:9" x14ac:dyDescent="0.2">
      <c r="A1407" s="1" t="s">
        <v>451</v>
      </c>
      <c r="B1407" s="6" t="str">
        <f t="shared" si="56"/>
        <v>70266</v>
      </c>
      <c r="C1407" s="1" t="s">
        <v>8</v>
      </c>
      <c r="D1407" s="1" t="s">
        <v>456</v>
      </c>
      <c r="E1407" s="6" t="str">
        <f>"027"</f>
        <v>027</v>
      </c>
      <c r="F1407" s="6">
        <v>2014</v>
      </c>
      <c r="G1407" s="7">
        <v>76025700</v>
      </c>
      <c r="H1407" s="7">
        <v>41136100</v>
      </c>
      <c r="I1407" s="7">
        <v>34889600</v>
      </c>
    </row>
    <row r="1408" spans="1:9" x14ac:dyDescent="0.2">
      <c r="A1408" s="1" t="s">
        <v>451</v>
      </c>
      <c r="B1408" s="6" t="str">
        <f t="shared" si="56"/>
        <v>70266</v>
      </c>
      <c r="C1408" s="1" t="s">
        <v>8</v>
      </c>
      <c r="D1408" s="1" t="s">
        <v>456</v>
      </c>
      <c r="E1408" s="6" t="str">
        <f>"029"</f>
        <v>029</v>
      </c>
      <c r="F1408" s="6">
        <v>2016</v>
      </c>
      <c r="G1408" s="7">
        <v>1357800</v>
      </c>
      <c r="H1408" s="7">
        <v>1268100</v>
      </c>
      <c r="I1408" s="7">
        <v>89700</v>
      </c>
    </row>
    <row r="1409" spans="1:9" x14ac:dyDescent="0.2">
      <c r="A1409" s="1" t="s">
        <v>451</v>
      </c>
      <c r="B1409" s="6" t="str">
        <f t="shared" si="56"/>
        <v>70266</v>
      </c>
      <c r="C1409" s="1" t="s">
        <v>8</v>
      </c>
      <c r="D1409" s="1" t="s">
        <v>456</v>
      </c>
      <c r="E1409" s="6" t="str">
        <f>"030"</f>
        <v>030</v>
      </c>
      <c r="F1409" s="6">
        <v>2016</v>
      </c>
      <c r="G1409" s="7">
        <v>5370800</v>
      </c>
      <c r="H1409" s="7">
        <v>563400</v>
      </c>
      <c r="I1409" s="7">
        <v>4807400</v>
      </c>
    </row>
    <row r="1410" spans="1:9" x14ac:dyDescent="0.2">
      <c r="A1410" s="1" t="s">
        <v>451</v>
      </c>
      <c r="B1410" s="6" t="str">
        <f t="shared" si="56"/>
        <v>70266</v>
      </c>
      <c r="C1410" s="1" t="s">
        <v>8</v>
      </c>
      <c r="D1410" s="1" t="s">
        <v>456</v>
      </c>
      <c r="E1410" s="6" t="str">
        <f>"031"</f>
        <v>031</v>
      </c>
      <c r="F1410" s="6">
        <v>2017</v>
      </c>
      <c r="G1410" s="7">
        <v>21242300</v>
      </c>
      <c r="H1410" s="7">
        <v>143600</v>
      </c>
      <c r="I1410" s="7">
        <v>21098700</v>
      </c>
    </row>
    <row r="1411" spans="1:9" x14ac:dyDescent="0.2">
      <c r="A1411" s="1" t="s">
        <v>451</v>
      </c>
      <c r="B1411" s="6" t="str">
        <f t="shared" si="56"/>
        <v>70266</v>
      </c>
      <c r="C1411" s="1" t="s">
        <v>8</v>
      </c>
      <c r="D1411" s="1" t="s">
        <v>456</v>
      </c>
      <c r="E1411" s="6" t="str">
        <f>"032"</f>
        <v>032</v>
      </c>
      <c r="F1411" s="6">
        <v>2017</v>
      </c>
      <c r="G1411" s="7">
        <v>809700</v>
      </c>
      <c r="H1411" s="7">
        <v>115900</v>
      </c>
      <c r="I1411" s="7">
        <v>693800</v>
      </c>
    </row>
    <row r="1412" spans="1:9" x14ac:dyDescent="0.2">
      <c r="A1412" s="1" t="s">
        <v>451</v>
      </c>
      <c r="B1412" s="6" t="str">
        <f t="shared" si="56"/>
        <v>70266</v>
      </c>
      <c r="C1412" s="1" t="s">
        <v>8</v>
      </c>
      <c r="D1412" s="1" t="s">
        <v>456</v>
      </c>
      <c r="E1412" s="6" t="str">
        <f>"033"</f>
        <v>033</v>
      </c>
      <c r="F1412" s="6">
        <v>2017</v>
      </c>
      <c r="G1412" s="7">
        <v>18859300</v>
      </c>
      <c r="H1412" s="7">
        <v>746100</v>
      </c>
      <c r="I1412" s="7">
        <v>18113200</v>
      </c>
    </row>
    <row r="1413" spans="1:9" x14ac:dyDescent="0.2">
      <c r="A1413" s="1" t="s">
        <v>451</v>
      </c>
      <c r="B1413" s="6" t="str">
        <f t="shared" si="56"/>
        <v>70266</v>
      </c>
      <c r="C1413" s="1" t="s">
        <v>8</v>
      </c>
      <c r="D1413" s="1" t="s">
        <v>456</v>
      </c>
      <c r="E1413" s="6" t="str">
        <f>"034"</f>
        <v>034</v>
      </c>
      <c r="F1413" s="6">
        <v>2018</v>
      </c>
      <c r="G1413" s="7">
        <v>49725700</v>
      </c>
      <c r="H1413" s="7">
        <v>0</v>
      </c>
      <c r="I1413" s="7">
        <v>49725700</v>
      </c>
    </row>
    <row r="1414" spans="1:9" x14ac:dyDescent="0.2">
      <c r="A1414" s="1" t="s">
        <v>451</v>
      </c>
      <c r="B1414" s="6" t="str">
        <f t="shared" si="56"/>
        <v>70266</v>
      </c>
      <c r="C1414" s="1" t="s">
        <v>8</v>
      </c>
      <c r="D1414" s="1" t="s">
        <v>456</v>
      </c>
      <c r="E1414" s="6" t="str">
        <f>"035"</f>
        <v>035</v>
      </c>
      <c r="F1414" s="6">
        <v>2018</v>
      </c>
      <c r="G1414" s="7">
        <v>60744400</v>
      </c>
      <c r="H1414" s="7">
        <v>15256700</v>
      </c>
      <c r="I1414" s="7">
        <v>45487700</v>
      </c>
    </row>
    <row r="1415" spans="1:9" x14ac:dyDescent="0.2">
      <c r="A1415" s="1" t="s">
        <v>451</v>
      </c>
      <c r="B1415" s="6" t="str">
        <f t="shared" si="56"/>
        <v>70266</v>
      </c>
      <c r="C1415" s="1" t="s">
        <v>8</v>
      </c>
      <c r="D1415" s="1" t="s">
        <v>456</v>
      </c>
      <c r="E1415" s="6" t="str">
        <f>"036"</f>
        <v>036</v>
      </c>
      <c r="F1415" s="6">
        <v>2019</v>
      </c>
      <c r="G1415" s="7">
        <v>21619700</v>
      </c>
      <c r="H1415" s="7">
        <v>0</v>
      </c>
      <c r="I1415" s="7">
        <v>21619700</v>
      </c>
    </row>
    <row r="1416" spans="1:9" x14ac:dyDescent="0.2">
      <c r="A1416" s="1" t="s">
        <v>451</v>
      </c>
      <c r="B1416" s="6" t="str">
        <f t="shared" si="56"/>
        <v>70266</v>
      </c>
      <c r="C1416" s="1" t="s">
        <v>8</v>
      </c>
      <c r="D1416" s="1" t="s">
        <v>456</v>
      </c>
      <c r="E1416" s="6" t="str">
        <f>"037"</f>
        <v>037</v>
      </c>
      <c r="F1416" s="6">
        <v>2019</v>
      </c>
      <c r="G1416" s="7">
        <v>18667300</v>
      </c>
      <c r="H1416" s="7">
        <v>6783100</v>
      </c>
      <c r="I1416" s="7">
        <v>11884200</v>
      </c>
    </row>
    <row r="1417" spans="1:9" x14ac:dyDescent="0.2">
      <c r="A1417" s="1" t="s">
        <v>451</v>
      </c>
      <c r="B1417" s="6" t="str">
        <f t="shared" si="56"/>
        <v>70266</v>
      </c>
      <c r="C1417" s="1" t="s">
        <v>8</v>
      </c>
      <c r="D1417" s="1" t="s">
        <v>456</v>
      </c>
      <c r="E1417" s="6" t="str">
        <f>"038"</f>
        <v>038</v>
      </c>
      <c r="F1417" s="6">
        <v>2019</v>
      </c>
      <c r="G1417" s="7">
        <v>2569600</v>
      </c>
      <c r="H1417" s="7">
        <v>2169600</v>
      </c>
      <c r="I1417" s="7">
        <v>400000</v>
      </c>
    </row>
    <row r="1418" spans="1:9" x14ac:dyDescent="0.2">
      <c r="A1418" s="1" t="s">
        <v>451</v>
      </c>
      <c r="B1418" s="6" t="str">
        <f t="shared" si="56"/>
        <v>70266</v>
      </c>
      <c r="C1418" s="1" t="s">
        <v>8</v>
      </c>
      <c r="D1418" s="1" t="s">
        <v>456</v>
      </c>
      <c r="E1418" s="6" t="str">
        <f>"039"</f>
        <v>039</v>
      </c>
      <c r="F1418" s="6">
        <v>2020</v>
      </c>
      <c r="G1418" s="7">
        <v>2240100</v>
      </c>
      <c r="H1418" s="7">
        <v>0</v>
      </c>
      <c r="I1418" s="7">
        <v>2240100</v>
      </c>
    </row>
    <row r="1419" spans="1:9" x14ac:dyDescent="0.2">
      <c r="A1419" s="1" t="s">
        <v>451</v>
      </c>
      <c r="B1419" s="6" t="str">
        <f t="shared" si="56"/>
        <v>70266</v>
      </c>
      <c r="C1419" s="1" t="s">
        <v>8</v>
      </c>
      <c r="D1419" s="1" t="s">
        <v>456</v>
      </c>
      <c r="E1419" s="6" t="str">
        <f>"040"</f>
        <v>040</v>
      </c>
      <c r="F1419" s="6">
        <v>2021</v>
      </c>
      <c r="G1419" s="7">
        <v>2211300</v>
      </c>
      <c r="H1419" s="7">
        <v>179200</v>
      </c>
      <c r="I1419" s="7">
        <v>2032100</v>
      </c>
    </row>
    <row r="1420" spans="1:9" x14ac:dyDescent="0.2">
      <c r="A1420" s="1" t="s">
        <v>451</v>
      </c>
      <c r="B1420" s="6" t="str">
        <f t="shared" si="56"/>
        <v>70266</v>
      </c>
      <c r="C1420" s="1" t="s">
        <v>8</v>
      </c>
      <c r="D1420" s="1" t="s">
        <v>456</v>
      </c>
      <c r="E1420" s="6" t="str">
        <f>"041"</f>
        <v>041</v>
      </c>
      <c r="F1420" s="6">
        <v>2022</v>
      </c>
      <c r="G1420" s="7">
        <v>2440600</v>
      </c>
      <c r="H1420" s="7">
        <v>401400</v>
      </c>
      <c r="I1420" s="7">
        <v>2039200</v>
      </c>
    </row>
    <row r="1421" spans="1:9" x14ac:dyDescent="0.2">
      <c r="A1421" s="1" t="s">
        <v>451</v>
      </c>
      <c r="B1421" s="6" t="str">
        <f t="shared" si="56"/>
        <v>70266</v>
      </c>
      <c r="C1421" s="1" t="s">
        <v>8</v>
      </c>
      <c r="D1421" s="1" t="s">
        <v>456</v>
      </c>
      <c r="E1421" s="6" t="str">
        <f>"042"</f>
        <v>042</v>
      </c>
      <c r="F1421" s="6">
        <v>2022</v>
      </c>
      <c r="G1421" s="7">
        <v>252400</v>
      </c>
      <c r="H1421" s="7">
        <v>246000</v>
      </c>
      <c r="I1421" s="7">
        <v>6400</v>
      </c>
    </row>
    <row r="1422" spans="1:9" x14ac:dyDescent="0.2">
      <c r="A1422" s="1" t="s">
        <v>451</v>
      </c>
      <c r="B1422" s="6" t="str">
        <f t="shared" si="56"/>
        <v>70266</v>
      </c>
      <c r="C1422" s="1" t="s">
        <v>8</v>
      </c>
      <c r="D1422" s="1" t="s">
        <v>456</v>
      </c>
      <c r="E1422" s="6" t="str">
        <f>"043"</f>
        <v>043</v>
      </c>
      <c r="F1422" s="6">
        <v>2022</v>
      </c>
      <c r="G1422" s="7">
        <v>7700</v>
      </c>
      <c r="H1422" s="7">
        <v>7100</v>
      </c>
      <c r="I1422" s="7">
        <v>600</v>
      </c>
    </row>
    <row r="1423" spans="1:9" x14ac:dyDescent="0.2">
      <c r="A1423" s="1" t="s">
        <v>451</v>
      </c>
      <c r="B1423" s="6" t="str">
        <f t="shared" si="56"/>
        <v>70266</v>
      </c>
      <c r="C1423" s="1" t="s">
        <v>8</v>
      </c>
      <c r="D1423" s="1" t="s">
        <v>456</v>
      </c>
      <c r="E1423" s="6" t="str">
        <f>"044"</f>
        <v>044</v>
      </c>
      <c r="F1423" s="6">
        <v>2024</v>
      </c>
      <c r="G1423" s="7">
        <v>21230600</v>
      </c>
      <c r="H1423" s="7">
        <v>14547000</v>
      </c>
      <c r="I1423" s="7">
        <v>6683600</v>
      </c>
    </row>
    <row r="1424" spans="1:9" x14ac:dyDescent="0.2">
      <c r="A1424" s="1" t="s">
        <v>457</v>
      </c>
      <c r="B1424" s="6" t="str">
        <f>"71101"</f>
        <v>71101</v>
      </c>
      <c r="C1424" s="1" t="s">
        <v>12</v>
      </c>
      <c r="D1424" s="1" t="s">
        <v>458</v>
      </c>
      <c r="E1424" s="6" t="str">
        <f>"001"</f>
        <v>001</v>
      </c>
      <c r="F1424" s="6">
        <v>2006</v>
      </c>
      <c r="G1424" s="7">
        <v>5724800</v>
      </c>
      <c r="H1424" s="7">
        <v>2073000</v>
      </c>
      <c r="I1424" s="7">
        <v>3651800</v>
      </c>
    </row>
    <row r="1425" spans="1:9" x14ac:dyDescent="0.2">
      <c r="A1425" s="1" t="s">
        <v>457</v>
      </c>
      <c r="B1425" s="6" t="str">
        <f>"71101"</f>
        <v>71101</v>
      </c>
      <c r="C1425" s="1" t="s">
        <v>12</v>
      </c>
      <c r="D1425" s="1" t="s">
        <v>458</v>
      </c>
      <c r="E1425" s="6" t="str">
        <f>"002"</f>
        <v>002</v>
      </c>
      <c r="F1425" s="6">
        <v>2015</v>
      </c>
      <c r="G1425" s="7">
        <v>4318200</v>
      </c>
      <c r="H1425" s="7">
        <v>1800400</v>
      </c>
      <c r="I1425" s="7">
        <v>2517800</v>
      </c>
    </row>
    <row r="1426" spans="1:9" x14ac:dyDescent="0.2">
      <c r="A1426" s="1" t="s">
        <v>457</v>
      </c>
      <c r="B1426" s="6" t="str">
        <f>"71101"</f>
        <v>71101</v>
      </c>
      <c r="C1426" s="1" t="s">
        <v>12</v>
      </c>
      <c r="D1426" s="1" t="s">
        <v>458</v>
      </c>
      <c r="E1426" s="6" t="str">
        <f>"003"</f>
        <v>003</v>
      </c>
      <c r="F1426" s="6">
        <v>2022</v>
      </c>
      <c r="G1426" s="7">
        <v>3589100</v>
      </c>
      <c r="H1426" s="7">
        <v>1502900</v>
      </c>
      <c r="I1426" s="7">
        <v>2086200</v>
      </c>
    </row>
    <row r="1427" spans="1:9" x14ac:dyDescent="0.2">
      <c r="A1427" s="1" t="s">
        <v>457</v>
      </c>
      <c r="B1427" s="6" t="str">
        <f>"71106"</f>
        <v>71106</v>
      </c>
      <c r="C1427" s="1" t="s">
        <v>12</v>
      </c>
      <c r="D1427" s="1" t="s">
        <v>459</v>
      </c>
      <c r="E1427" s="6" t="str">
        <f>"001"</f>
        <v>001</v>
      </c>
      <c r="F1427" s="6">
        <v>2006</v>
      </c>
      <c r="G1427" s="7">
        <v>5488300</v>
      </c>
      <c r="H1427" s="7">
        <v>3452100</v>
      </c>
      <c r="I1427" s="7">
        <v>2036200</v>
      </c>
    </row>
    <row r="1428" spans="1:9" x14ac:dyDescent="0.2">
      <c r="A1428" s="1" t="s">
        <v>457</v>
      </c>
      <c r="B1428" s="6" t="str">
        <f>"71106"</f>
        <v>71106</v>
      </c>
      <c r="C1428" s="1" t="s">
        <v>12</v>
      </c>
      <c r="D1428" s="1" t="s">
        <v>459</v>
      </c>
      <c r="E1428" s="6" t="str">
        <f>"002"</f>
        <v>002</v>
      </c>
      <c r="F1428" s="6">
        <v>2006</v>
      </c>
      <c r="G1428" s="7">
        <v>47143900</v>
      </c>
      <c r="H1428" s="7">
        <v>4698300</v>
      </c>
      <c r="I1428" s="7">
        <v>42445600</v>
      </c>
    </row>
    <row r="1429" spans="1:9" x14ac:dyDescent="0.2">
      <c r="A1429" s="1" t="s">
        <v>457</v>
      </c>
      <c r="B1429" s="6" t="str">
        <f>"71106"</f>
        <v>71106</v>
      </c>
      <c r="C1429" s="1" t="s">
        <v>12</v>
      </c>
      <c r="D1429" s="1" t="s">
        <v>459</v>
      </c>
      <c r="E1429" s="6" t="str">
        <f>"003"</f>
        <v>003</v>
      </c>
      <c r="F1429" s="6">
        <v>2009</v>
      </c>
      <c r="G1429" s="7">
        <v>28713800</v>
      </c>
      <c r="H1429" s="7">
        <v>3897200</v>
      </c>
      <c r="I1429" s="7">
        <v>24816600</v>
      </c>
    </row>
    <row r="1430" spans="1:9" x14ac:dyDescent="0.2">
      <c r="A1430" s="1" t="s">
        <v>457</v>
      </c>
      <c r="B1430" s="6" t="str">
        <f>"71171"</f>
        <v>71171</v>
      </c>
      <c r="C1430" s="1" t="s">
        <v>12</v>
      </c>
      <c r="D1430" s="1" t="s">
        <v>460</v>
      </c>
      <c r="E1430" s="6" t="str">
        <f>"002"</f>
        <v>002</v>
      </c>
      <c r="F1430" s="6">
        <v>2009</v>
      </c>
      <c r="G1430" s="7">
        <v>15436800</v>
      </c>
      <c r="H1430" s="7">
        <v>5240500</v>
      </c>
      <c r="I1430" s="7">
        <v>10196300</v>
      </c>
    </row>
    <row r="1431" spans="1:9" x14ac:dyDescent="0.2">
      <c r="A1431" s="1" t="s">
        <v>457</v>
      </c>
      <c r="B1431" s="6" t="str">
        <f>"71186"</f>
        <v>71186</v>
      </c>
      <c r="C1431" s="1" t="s">
        <v>12</v>
      </c>
      <c r="D1431" s="1" t="s">
        <v>461</v>
      </c>
      <c r="E1431" s="6" t="str">
        <f>"001"</f>
        <v>001</v>
      </c>
      <c r="F1431" s="6">
        <v>2006</v>
      </c>
      <c r="G1431" s="7">
        <v>6838000</v>
      </c>
      <c r="H1431" s="7">
        <v>2509000</v>
      </c>
      <c r="I1431" s="7">
        <v>4329000</v>
      </c>
    </row>
    <row r="1432" spans="1:9" x14ac:dyDescent="0.2">
      <c r="A1432" s="1" t="s">
        <v>457</v>
      </c>
      <c r="B1432" s="6" t="str">
        <f>"71186"</f>
        <v>71186</v>
      </c>
      <c r="C1432" s="1" t="s">
        <v>12</v>
      </c>
      <c r="D1432" s="1" t="s">
        <v>461</v>
      </c>
      <c r="E1432" s="6" t="str">
        <f>"002"</f>
        <v>002</v>
      </c>
      <c r="F1432" s="6">
        <v>2023</v>
      </c>
      <c r="G1432" s="7">
        <v>3856200</v>
      </c>
      <c r="H1432" s="7">
        <v>2837000</v>
      </c>
      <c r="I1432" s="7">
        <v>1019200</v>
      </c>
    </row>
    <row r="1433" spans="1:9" x14ac:dyDescent="0.2">
      <c r="A1433" s="1" t="s">
        <v>457</v>
      </c>
      <c r="B1433" s="6" t="str">
        <f t="shared" ref="B1433:B1441" si="57">"71251"</f>
        <v>71251</v>
      </c>
      <c r="C1433" s="1" t="s">
        <v>8</v>
      </c>
      <c r="D1433" s="1" t="s">
        <v>236</v>
      </c>
      <c r="E1433" s="6" t="str">
        <f>"004"</f>
        <v>004</v>
      </c>
      <c r="F1433" s="6">
        <v>1996</v>
      </c>
      <c r="G1433" s="7">
        <v>88574800</v>
      </c>
      <c r="H1433" s="7">
        <v>32843000</v>
      </c>
      <c r="I1433" s="7">
        <v>55731800</v>
      </c>
    </row>
    <row r="1434" spans="1:9" x14ac:dyDescent="0.2">
      <c r="A1434" s="1" t="s">
        <v>457</v>
      </c>
      <c r="B1434" s="6" t="str">
        <f t="shared" si="57"/>
        <v>71251</v>
      </c>
      <c r="C1434" s="1" t="s">
        <v>8</v>
      </c>
      <c r="D1434" s="1" t="s">
        <v>236</v>
      </c>
      <c r="E1434" s="6" t="str">
        <f>"007"</f>
        <v>007</v>
      </c>
      <c r="F1434" s="6">
        <v>2001</v>
      </c>
      <c r="G1434" s="7">
        <v>43420300</v>
      </c>
      <c r="H1434" s="7">
        <v>2052300</v>
      </c>
      <c r="I1434" s="7">
        <v>41368000</v>
      </c>
    </row>
    <row r="1435" spans="1:9" x14ac:dyDescent="0.2">
      <c r="A1435" s="1" t="s">
        <v>457</v>
      </c>
      <c r="B1435" s="6" t="str">
        <f t="shared" si="57"/>
        <v>71251</v>
      </c>
      <c r="C1435" s="1" t="s">
        <v>8</v>
      </c>
      <c r="D1435" s="1" t="s">
        <v>236</v>
      </c>
      <c r="E1435" s="6" t="str">
        <f>"009"</f>
        <v>009</v>
      </c>
      <c r="F1435" s="6">
        <v>2013</v>
      </c>
      <c r="G1435" s="7">
        <v>18794900</v>
      </c>
      <c r="H1435" s="7">
        <v>1398400</v>
      </c>
      <c r="I1435" s="7">
        <v>17396500</v>
      </c>
    </row>
    <row r="1436" spans="1:9" x14ac:dyDescent="0.2">
      <c r="A1436" s="1" t="s">
        <v>457</v>
      </c>
      <c r="B1436" s="6" t="str">
        <f t="shared" si="57"/>
        <v>71251</v>
      </c>
      <c r="C1436" s="1" t="s">
        <v>8</v>
      </c>
      <c r="D1436" s="1" t="s">
        <v>236</v>
      </c>
      <c r="E1436" s="6" t="str">
        <f>"010"</f>
        <v>010</v>
      </c>
      <c r="F1436" s="6">
        <v>2015</v>
      </c>
      <c r="G1436" s="7">
        <v>30953600</v>
      </c>
      <c r="H1436" s="7">
        <v>14047900</v>
      </c>
      <c r="I1436" s="7">
        <v>16905700</v>
      </c>
    </row>
    <row r="1437" spans="1:9" x14ac:dyDescent="0.2">
      <c r="A1437" s="1" t="s">
        <v>457</v>
      </c>
      <c r="B1437" s="6" t="str">
        <f t="shared" si="57"/>
        <v>71251</v>
      </c>
      <c r="C1437" s="1" t="s">
        <v>8</v>
      </c>
      <c r="D1437" s="1" t="s">
        <v>236</v>
      </c>
      <c r="E1437" s="6" t="str">
        <f>"011"</f>
        <v>011</v>
      </c>
      <c r="F1437" s="6">
        <v>2016</v>
      </c>
      <c r="G1437" s="7">
        <v>4910200</v>
      </c>
      <c r="H1437" s="7">
        <v>523700</v>
      </c>
      <c r="I1437" s="7">
        <v>4386500</v>
      </c>
    </row>
    <row r="1438" spans="1:9" x14ac:dyDescent="0.2">
      <c r="A1438" s="1" t="s">
        <v>457</v>
      </c>
      <c r="B1438" s="6" t="str">
        <f t="shared" si="57"/>
        <v>71251</v>
      </c>
      <c r="C1438" s="1" t="s">
        <v>8</v>
      </c>
      <c r="D1438" s="1" t="s">
        <v>236</v>
      </c>
      <c r="E1438" s="6" t="str">
        <f>"012"</f>
        <v>012</v>
      </c>
      <c r="F1438" s="6">
        <v>2021</v>
      </c>
      <c r="G1438" s="7">
        <v>0</v>
      </c>
      <c r="H1438" s="7">
        <v>0</v>
      </c>
      <c r="I1438" s="7">
        <v>0</v>
      </c>
    </row>
    <row r="1439" spans="1:9" x14ac:dyDescent="0.2">
      <c r="A1439" s="1" t="s">
        <v>457</v>
      </c>
      <c r="B1439" s="6" t="str">
        <f t="shared" si="57"/>
        <v>71251</v>
      </c>
      <c r="C1439" s="1" t="s">
        <v>8</v>
      </c>
      <c r="D1439" s="1" t="s">
        <v>236</v>
      </c>
      <c r="E1439" s="6" t="str">
        <f>"013"</f>
        <v>013</v>
      </c>
      <c r="F1439" s="6">
        <v>2021</v>
      </c>
      <c r="G1439" s="7">
        <v>34857900</v>
      </c>
      <c r="H1439" s="7">
        <v>19536900</v>
      </c>
      <c r="I1439" s="7">
        <v>15321000</v>
      </c>
    </row>
    <row r="1440" spans="1:9" x14ac:dyDescent="0.2">
      <c r="A1440" s="1" t="s">
        <v>457</v>
      </c>
      <c r="B1440" s="6" t="str">
        <f t="shared" si="57"/>
        <v>71251</v>
      </c>
      <c r="C1440" s="1" t="s">
        <v>8</v>
      </c>
      <c r="D1440" s="1" t="s">
        <v>236</v>
      </c>
      <c r="E1440" s="6" t="str">
        <f>"014"</f>
        <v>014</v>
      </c>
      <c r="F1440" s="6">
        <v>2023</v>
      </c>
      <c r="G1440" s="7">
        <v>4132200</v>
      </c>
      <c r="H1440" s="7">
        <v>3745800</v>
      </c>
      <c r="I1440" s="7">
        <v>386400</v>
      </c>
    </row>
    <row r="1441" spans="1:9" x14ac:dyDescent="0.2">
      <c r="A1441" s="1" t="s">
        <v>457</v>
      </c>
      <c r="B1441" s="6" t="str">
        <f t="shared" si="57"/>
        <v>71251</v>
      </c>
      <c r="C1441" s="1" t="s">
        <v>8</v>
      </c>
      <c r="D1441" s="1" t="s">
        <v>236</v>
      </c>
      <c r="E1441" s="6" t="str">
        <f>"015"</f>
        <v>015</v>
      </c>
      <c r="F1441" s="6">
        <v>2024</v>
      </c>
      <c r="G1441" s="7">
        <v>21997600</v>
      </c>
      <c r="H1441" s="7">
        <v>21448900</v>
      </c>
      <c r="I1441" s="7">
        <v>548700</v>
      </c>
    </row>
    <row r="1442" spans="1:9" x14ac:dyDescent="0.2">
      <c r="A1442" s="1" t="s">
        <v>457</v>
      </c>
      <c r="B1442" s="6" t="str">
        <f>"71261"</f>
        <v>71261</v>
      </c>
      <c r="C1442" s="1" t="s">
        <v>8</v>
      </c>
      <c r="D1442" s="1" t="s">
        <v>462</v>
      </c>
      <c r="E1442" s="6" t="str">
        <f>"003"</f>
        <v>003</v>
      </c>
      <c r="F1442" s="6">
        <v>2012</v>
      </c>
      <c r="G1442" s="7">
        <v>31265700</v>
      </c>
      <c r="H1442" s="7">
        <v>16204500</v>
      </c>
      <c r="I1442" s="7">
        <v>15061200</v>
      </c>
    </row>
    <row r="1443" spans="1:9" x14ac:dyDescent="0.2">
      <c r="A1443" s="1" t="s">
        <v>457</v>
      </c>
      <c r="B1443" s="6" t="str">
        <f>"71261"</f>
        <v>71261</v>
      </c>
      <c r="C1443" s="1" t="s">
        <v>8</v>
      </c>
      <c r="D1443" s="1" t="s">
        <v>462</v>
      </c>
      <c r="E1443" s="6" t="str">
        <f>"004"</f>
        <v>004</v>
      </c>
      <c r="F1443" s="6">
        <v>2018</v>
      </c>
      <c r="G1443" s="7">
        <v>8023100</v>
      </c>
      <c r="H1443" s="7">
        <v>3086000</v>
      </c>
      <c r="I1443" s="7">
        <v>4937100</v>
      </c>
    </row>
    <row r="1444" spans="1:9" x14ac:dyDescent="0.2">
      <c r="A1444" s="1" t="s">
        <v>457</v>
      </c>
      <c r="B1444" s="6" t="str">
        <f>"71291"</f>
        <v>71291</v>
      </c>
      <c r="C1444" s="1" t="s">
        <v>8</v>
      </c>
      <c r="D1444" s="1" t="s">
        <v>463</v>
      </c>
      <c r="E1444" s="6" t="str">
        <f>"006"</f>
        <v>006</v>
      </c>
      <c r="F1444" s="6">
        <v>2004</v>
      </c>
      <c r="G1444" s="7">
        <v>19236000</v>
      </c>
      <c r="H1444" s="7">
        <v>3812800</v>
      </c>
      <c r="I1444" s="7">
        <v>15423200</v>
      </c>
    </row>
    <row r="1445" spans="1:9" x14ac:dyDescent="0.2">
      <c r="A1445" s="1" t="s">
        <v>457</v>
      </c>
      <c r="B1445" s="6" t="str">
        <f>"71291"</f>
        <v>71291</v>
      </c>
      <c r="C1445" s="1" t="s">
        <v>8</v>
      </c>
      <c r="D1445" s="1" t="s">
        <v>463</v>
      </c>
      <c r="E1445" s="6" t="str">
        <f>"007"</f>
        <v>007</v>
      </c>
      <c r="F1445" s="6">
        <v>2005</v>
      </c>
      <c r="G1445" s="7">
        <v>58649500</v>
      </c>
      <c r="H1445" s="7">
        <v>31842200</v>
      </c>
      <c r="I1445" s="7">
        <v>26807300</v>
      </c>
    </row>
    <row r="1446" spans="1:9" x14ac:dyDescent="0.2">
      <c r="A1446" s="1" t="s">
        <v>457</v>
      </c>
      <c r="B1446" s="6" t="str">
        <f>"71291"</f>
        <v>71291</v>
      </c>
      <c r="C1446" s="1" t="s">
        <v>8</v>
      </c>
      <c r="D1446" s="1" t="s">
        <v>463</v>
      </c>
      <c r="E1446" s="6" t="str">
        <f>"008"</f>
        <v>008</v>
      </c>
      <c r="F1446" s="6">
        <v>2019</v>
      </c>
      <c r="G1446" s="7">
        <v>25294800</v>
      </c>
      <c r="H1446" s="7">
        <v>0</v>
      </c>
      <c r="I1446" s="7">
        <v>25294800</v>
      </c>
    </row>
  </sheetData>
  <pageMargins left="0.25" right="0.25" top="0.75" bottom="0.75" header="0.3" footer="0.3"/>
  <pageSetup scale="89" fitToHeight="0" orientation="portrait" r:id="rId1"/>
  <ignoredErrors>
    <ignoredError sqref="E13 E34 E48 E46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b65cc95-6d4e-4879-a879-9838761499af">33E6D4FPPFNA-691263572-6025</_dlc_DocId>
    <_dlc_DocIdUrl xmlns="bb65cc95-6d4e-4879-a879-9838761499af">
      <Url>https://revenue-auth-prod.wi.gov/_layouts/15/DocIdRedir.aspx?ID=33E6D4FPPFNA-691263572-6025</Url>
      <Description>33E6D4FPPFNA-691263572-6025</Description>
    </_dlc_DocIdUrl>
    <_x002e_Owner xmlns="9e30f06f-ad7a-453a-8e08-8a8878e30bd1">
      <Value>40</Value>
    </_x002e_Owner>
    <EffectiveDate xmlns="7b1f4bc1-1c69-4382-97c7-524a76d943bf" xsi:nil="true"/>
    <_x002e_DocumentType xmlns="9e30f06f-ad7a-453a-8e08-8a8878e30bd1">
      <Value>123</Value>
      <Value>201</Value>
    </_x002e_DocumentType>
    <_x002e_DocumentYear xmlns="9e30f06f-ad7a-453a-8e08-8a8878e30bd1">2025</_x002e_DocumentYea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0BACEAB165394D97F8EEEC27035B5B" ma:contentTypeVersion="8" ma:contentTypeDescription="Create a new document." ma:contentTypeScope="" ma:versionID="ba2d42c7dab1ac740cd61a292e853286">
  <xsd:schema xmlns:xsd="http://www.w3.org/2001/XMLSchema" xmlns:xs="http://www.w3.org/2001/XMLSchema" xmlns:p="http://schemas.microsoft.com/office/2006/metadata/properties" xmlns:ns2="bb65cc95-6d4e-4879-a879-9838761499af" xmlns:ns3="9e30f06f-ad7a-453a-8e08-8a8878e30bd1" xmlns:ns4="7b1f4bc1-1c69-4382-97c7-524a76d943bf" targetNamespace="http://schemas.microsoft.com/office/2006/metadata/properties" ma:root="true" ma:fieldsID="a25f28d846f3f58f8a419ce1cb22d9c1" ns2:_="" ns3:_="" ns4:_="">
    <xsd:import namespace="bb65cc95-6d4e-4879-a879-9838761499af"/>
    <xsd:import namespace="9e30f06f-ad7a-453a-8e08-8a8878e30bd1"/>
    <xsd:import namespace="7b1f4bc1-1c69-4382-97c7-524a76d943b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_x002e_DocumentType" minOccurs="0"/>
                <xsd:element ref="ns3:_x002e_Owner" minOccurs="0"/>
                <xsd:element ref="ns3:_x002e_Owner_x003a_Title" minOccurs="0"/>
                <xsd:element ref="ns3:_x002e_DocumentYear" minOccurs="0"/>
                <xsd:element ref="ns4:Effective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65cc95-6d4e-4879-a879-9838761499a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30f06f-ad7a-453a-8e08-8a8878e30bd1" elementFormDefault="qualified">
    <xsd:import namespace="http://schemas.microsoft.com/office/2006/documentManagement/types"/>
    <xsd:import namespace="http://schemas.microsoft.com/office/infopath/2007/PartnerControls"/>
    <xsd:element name="_x002e_DocumentType" ma:index="11" nillable="true" ma:displayName=".DocumentType" ma:list="{16749d5e-cea4-48ae-a28f-956a510190bc}" ma:internalName="_x002E_DocumentType" ma:showField="Title" ma:web="9e30f06f-ad7a-453a-8e08-8a8878e30bd1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x002e_Owner" ma:index="12" nillable="true" ma:displayName=".Owner" ma:list="{29e46617-3f90-47c2-81cb-c15a8896bebd}" ma:internalName="_x002E_Owner" ma:showField="Title" ma:web="9e30f06f-ad7a-453a-8e08-8a8878e30bd1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x002e_Owner_x003a_Title" ma:index="13" nillable="true" ma:displayName=".Owner:Title" ma:list="{29e46617-3f90-47c2-81cb-c15a8896bebd}" ma:internalName="_x002E_Owner_x003A_Title" ma:readOnly="true" ma:showField="Title" ma:web="9e30f06f-ad7a-453a-8e08-8a8878e30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x002e_DocumentYear" ma:index="14" nillable="true" ma:displayName=".DocumentYear" ma:description="Year(s) the document applies to." ma:format="Dropdown" ma:internalName="_x002E_DocumentYear">
      <xsd:simpleType>
        <xsd:restriction base="dms:Choice">
          <xsd:enumeration value="multi-year"/>
          <xsd:enumeration value="2026"/>
          <xsd:enumeration value="2025"/>
          <xsd:enumeration value="2024"/>
          <xsd:enumeration value="2023"/>
          <xsd:enumeration value="2022"/>
          <xsd:enumeration value="2021"/>
          <xsd:enumeration value="2020"/>
          <xsd:enumeration value="2019"/>
          <xsd:enumeration value="2018"/>
          <xsd:enumeration value="2017"/>
          <xsd:enumeration value="2016"/>
          <xsd:enumeration value="2015"/>
          <xsd:enumeration value="2014"/>
          <xsd:enumeration value="2013"/>
          <xsd:enumeration value="2012"/>
          <xsd:enumeration value="2011"/>
          <xsd:enumeration value="2010"/>
          <xsd:enumeration value="2009"/>
          <xsd:enumeration value="2008"/>
          <xsd:enumeration value="2007"/>
          <xsd:enumeration value="2006"/>
          <xsd:enumeration value="2005"/>
          <xsd:enumeration value="2004"/>
          <xsd:enumeration value="2003"/>
          <xsd:enumeration value="2002"/>
          <xsd:enumeration value="2001"/>
          <xsd:enumeration value="2000"/>
          <xsd:enumeration value="1999"/>
          <xsd:enumeration value="1998"/>
          <xsd:enumeration value="1997"/>
          <xsd:enumeration value="1996"/>
          <xsd:enumeration value="1995"/>
          <xsd:enumeration value="1994"/>
          <xsd:enumeration value="1993"/>
          <xsd:enumeration value="1992"/>
          <xsd:enumeration value="1991"/>
          <xsd:enumeration value="1990"/>
          <xsd:enumeration value="1989"/>
          <xsd:enumeration value="1988"/>
          <xsd:enumeration value="1987"/>
          <xsd:enumeration value="1986"/>
          <xsd:enumeration value="1985"/>
          <xsd:enumeration value="1984"/>
          <xsd:enumeration value="1983"/>
          <xsd:enumeration value="1982"/>
          <xsd:enumeration value="1981"/>
          <xsd:enumeration value="1980"/>
          <xsd:enumeration value="1979"/>
          <xsd:enumeration value="1978"/>
          <xsd:enumeration value="1977"/>
          <xsd:enumeration value="1976"/>
          <xsd:enumeration value="1975"/>
          <xsd:enumeration value="1974"/>
          <xsd:enumeration value="1973"/>
          <xsd:enumeration value="1972"/>
          <xsd:enumeration value="1971"/>
          <xsd:enumeration value="1970"/>
          <xsd:enumeration value="1969"/>
          <xsd:enumeration value="1968"/>
          <xsd:enumeration value="1967"/>
          <xsd:enumeration value="1966"/>
          <xsd:enumeration value="1965"/>
        </xsd:restriction>
      </xsd:simple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f4bc1-1c69-4382-97c7-524a76d943bf" elementFormDefault="qualified">
    <xsd:import namespace="http://schemas.microsoft.com/office/2006/documentManagement/types"/>
    <xsd:import namespace="http://schemas.microsoft.com/office/infopath/2007/PartnerControls"/>
    <xsd:element name="EffectiveDate" ma:index="16" nillable="true" ma:displayName="EffectiveDate" ma:description="effective date for STRB files" ma:internalName="EffectiveDat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BB5CFF-686F-4579-A716-3FF6F46DAED3}">
  <ds:schemaRefs>
    <ds:schemaRef ds:uri="http://schemas.microsoft.com/office/2006/metadata/properties"/>
    <ds:schemaRef ds:uri="http://schemas.microsoft.com/office/infopath/2007/PartnerControls"/>
    <ds:schemaRef ds:uri="bb65cc95-6d4e-4879-a879-9838761499af"/>
    <ds:schemaRef ds:uri="9e30f06f-ad7a-453a-8e08-8a8878e30bd1"/>
    <ds:schemaRef ds:uri="7b1f4bc1-1c69-4382-97c7-524a76d943bf"/>
  </ds:schemaRefs>
</ds:datastoreItem>
</file>

<file path=customXml/itemProps2.xml><?xml version="1.0" encoding="utf-8"?>
<ds:datastoreItem xmlns:ds="http://schemas.openxmlformats.org/officeDocument/2006/customXml" ds:itemID="{6A70861D-8B80-4368-999E-6AF569D2ED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B7C856-44AB-47F9-B693-AB97EC2722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6E85A4C-A3BB-4222-98E6-44227EAAD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65cc95-6d4e-4879-a879-9838761499af"/>
    <ds:schemaRef ds:uri="9e30f06f-ad7a-453a-8e08-8a8878e30bd1"/>
    <ds:schemaRef ds:uri="7b1f4bc1-1c69-4382-97c7-524a76d943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 Municipal/County Certification	</dc:title>
  <dc:creator>Filipiak, Kristin H - DOR</dc:creator>
  <cp:lastModifiedBy>Juan Lasso</cp:lastModifiedBy>
  <cp:lastPrinted>2025-09-16T16:05:57Z</cp:lastPrinted>
  <dcterms:created xsi:type="dcterms:W3CDTF">2025-09-16T16:00:00Z</dcterms:created>
  <dcterms:modified xsi:type="dcterms:W3CDTF">2026-08-22T22:42:51Z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0x010100F10BACEAB165394D97F8EEEC27035B5B</vt:lpwstr>
  </property>
  <property fmtid="{D5CDD505-2E9C-101B-9397-08002B2CF9AE}" pid="3" name="_dlc_DocIdItemGuid">
    <vt:lpwstr>0264d20f-b503-4df8-874c-ba2bc8c3b954</vt:lpwstr>
  </property>
</Properties>
</file>